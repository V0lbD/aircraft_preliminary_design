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foklovbb/Downloads/"/>
    </mc:Choice>
  </mc:AlternateContent>
  <xr:revisionPtr revIDLastSave="0" documentId="8_{0F967309-55F7-3D46-9D99-41F5952ACDC0}" xr6:coauthVersionLast="47" xr6:coauthVersionMax="47" xr10:uidLastSave="{00000000-0000-0000-0000-000000000000}"/>
  <bookViews>
    <workbookView xWindow="0" yWindow="500" windowWidth="28800" windowHeight="1578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E3" i="1"/>
  <c r="F3" i="1"/>
  <c r="G3" i="1"/>
  <c r="E4" i="1"/>
  <c r="F4" i="1"/>
  <c r="G4" i="1"/>
  <c r="E5" i="1"/>
  <c r="F5" i="1"/>
  <c r="G5" i="1"/>
  <c r="E6" i="1"/>
  <c r="F6" i="1"/>
  <c r="G6" i="1"/>
  <c r="C3" i="1"/>
  <c r="D3" i="1"/>
  <c r="C4" i="1"/>
  <c r="D4" i="1"/>
  <c r="C5" i="1"/>
  <c r="D5" i="1"/>
  <c r="C6" i="1"/>
  <c r="D6" i="1"/>
  <c r="B6" i="1"/>
  <c r="B5" i="1"/>
  <c r="B4" i="1"/>
  <c r="B3" i="1"/>
</calcChain>
</file>

<file path=xl/sharedStrings.xml><?xml version="1.0" encoding="utf-8"?>
<sst xmlns="http://schemas.openxmlformats.org/spreadsheetml/2006/main" count="34" uniqueCount="12">
  <si>
    <t xml:space="preserve">Обшивка </t>
  </si>
  <si>
    <t xml:space="preserve">Поперечный набор </t>
  </si>
  <si>
    <t>алюминиевых сплавов</t>
  </si>
  <si>
    <t>композиционных материалов</t>
  </si>
  <si>
    <t xml:space="preserve"> </t>
  </si>
  <si>
    <t>Продольный набор</t>
  </si>
  <si>
    <t>Крыло</t>
  </si>
  <si>
    <t>Фюзеляж</t>
  </si>
  <si>
    <t>Оперение</t>
  </si>
  <si>
    <t>аблица 5: Стоимость 1 кг материала (руб./кг)</t>
  </si>
  <si>
    <t>Обшивка</t>
  </si>
  <si>
    <t>Поперечный набор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</si>
</sst>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3" zoomScale="91" zoomScaleNormal="90" workbookViewId="0">
      <selection activeCell="D17" sqref="D17"/>
    </sheetView>
  </sheetViews>
  <sheetFormatPr baseColWidth="10" defaultColWidth="8.83203125" defaultRowHeight="15" x14ac:dyDescent="0.2"/>
  <cols>
    <col min="1" max="1" width="33.5" customWidth="1"/>
    <col min="2" max="2" width="25" customWidth="1"/>
    <col min="3" max="3" width="21.6640625" customWidth="1"/>
    <col min="4" max="4" width="19.33203125" customWidth="1"/>
    <col min="5" max="5" width="20" customWidth="1"/>
    <col min="6" max="6" width="21.1640625" customWidth="1"/>
    <col min="7" max="7" width="22.6640625" customWidth="1"/>
    <col min="8" max="8" width="21.83203125" customWidth="1"/>
    <col min="9" max="9" width="21.5" customWidth="1"/>
    <col min="10" max="10" width="19.83203125" customWidth="1"/>
  </cols>
  <sheetData>
    <row r="1" spans="1:10" ht="48" customHeight="1" thickBot="1" x14ac:dyDescent="0.25">
      <c r="B1" s="8" t="s">
        <v>6</v>
      </c>
      <c r="C1" s="9"/>
      <c r="D1" s="10"/>
      <c r="E1" s="11" t="s">
        <v>7</v>
      </c>
      <c r="F1" s="12"/>
      <c r="G1" s="13"/>
      <c r="H1" s="14" t="s">
        <v>8</v>
      </c>
      <c r="I1" s="15"/>
      <c r="J1" s="16"/>
    </row>
    <row r="2" spans="1:10" ht="93.75" customHeight="1" thickBot="1" x14ac:dyDescent="0.25">
      <c r="B2" s="1" t="s">
        <v>0</v>
      </c>
      <c r="C2" s="2" t="s">
        <v>1</v>
      </c>
      <c r="D2" s="3" t="s">
        <v>5</v>
      </c>
      <c r="E2" s="1" t="s">
        <v>0</v>
      </c>
      <c r="F2" s="2" t="s">
        <v>1</v>
      </c>
      <c r="G2" s="3" t="s">
        <v>5</v>
      </c>
      <c r="H2" s="1" t="s">
        <v>0</v>
      </c>
      <c r="I2" s="2" t="s">
        <v>1</v>
      </c>
      <c r="J2" s="3" t="s">
        <v>5</v>
      </c>
    </row>
    <row r="3" spans="1:10" ht="51" customHeight="1" thickBot="1" x14ac:dyDescent="0.25">
      <c r="A3" s="7" t="s">
        <v>2</v>
      </c>
      <c r="B3" s="5">
        <f>Лист2!B5</f>
        <v>1200</v>
      </c>
      <c r="C3" s="5">
        <f>Лист2!C5</f>
        <v>1200</v>
      </c>
      <c r="D3" s="5">
        <f>Лист2!D5</f>
        <v>1200</v>
      </c>
      <c r="E3" s="5">
        <f>Лист2!E5</f>
        <v>1200</v>
      </c>
      <c r="F3" s="5">
        <f>Лист2!F5</f>
        <v>1200</v>
      </c>
      <c r="G3" s="5">
        <f>Лист2!G5</f>
        <v>1200</v>
      </c>
      <c r="H3" s="5">
        <f>Лист2!H5</f>
        <v>1200</v>
      </c>
      <c r="I3" s="5">
        <f>Лист2!I5</f>
        <v>1200</v>
      </c>
      <c r="J3" s="5">
        <f>Лист2!J5</f>
        <v>1200</v>
      </c>
    </row>
    <row r="4" spans="1:10" ht="25" x14ac:dyDescent="0.2">
      <c r="A4" s="7" t="s">
        <v>2</v>
      </c>
      <c r="B4" s="5">
        <f>Лист2!B6</f>
        <v>3200</v>
      </c>
      <c r="C4" s="5">
        <f>Лист2!C6</f>
        <v>8500</v>
      </c>
      <c r="D4" s="5">
        <f>Лист2!D6</f>
        <v>750</v>
      </c>
      <c r="E4" s="5">
        <f>Лист2!E6</f>
        <v>3200</v>
      </c>
      <c r="F4" s="5">
        <f>Лист2!F6</f>
        <v>8500</v>
      </c>
      <c r="G4" s="5">
        <f>Лист2!G6</f>
        <v>900</v>
      </c>
      <c r="H4" s="5">
        <f>Лист2!H6</f>
        <v>3200</v>
      </c>
      <c r="I4" s="5">
        <f>Лист2!I6</f>
        <v>8500</v>
      </c>
      <c r="J4" s="5">
        <f>Лист2!J6</f>
        <v>750</v>
      </c>
    </row>
    <row r="5" spans="1:10" ht="50" x14ac:dyDescent="0.2">
      <c r="A5" s="6" t="s">
        <v>3</v>
      </c>
      <c r="B5" s="4">
        <f>Лист2!B7</f>
        <v>5800</v>
      </c>
      <c r="C5" s="4">
        <f>Лист2!C7</f>
        <v>12000</v>
      </c>
      <c r="D5" s="4">
        <f>Лист2!D7</f>
        <v>5800</v>
      </c>
      <c r="E5" s="4">
        <f>Лист2!E7</f>
        <v>5800</v>
      </c>
      <c r="F5" s="4">
        <f>Лист2!F7</f>
        <v>5800</v>
      </c>
      <c r="G5" s="4">
        <f>Лист2!G7</f>
        <v>5800</v>
      </c>
      <c r="H5" s="4">
        <f>Лист2!H7</f>
        <v>5800</v>
      </c>
      <c r="I5" s="4">
        <f>Лист2!I7</f>
        <v>12000</v>
      </c>
      <c r="J5" s="4">
        <f>Лист2!J7</f>
        <v>5800</v>
      </c>
    </row>
    <row r="6" spans="1:10" ht="50" x14ac:dyDescent="0.2">
      <c r="A6" s="6" t="s">
        <v>3</v>
      </c>
      <c r="B6" s="4">
        <f>Лист2!B8</f>
        <v>3500</v>
      </c>
      <c r="C6" s="4">
        <f>Лист2!C8</f>
        <v>3500</v>
      </c>
      <c r="D6" s="4">
        <f>Лист2!D8</f>
        <v>3500</v>
      </c>
      <c r="E6" s="4">
        <f>Лист2!E8</f>
        <v>3500</v>
      </c>
      <c r="F6" s="4">
        <f>Лист2!F8</f>
        <v>3500</v>
      </c>
      <c r="G6" s="4">
        <f>Лист2!G8</f>
        <v>5800</v>
      </c>
      <c r="H6" s="4">
        <f>Лист2!H8</f>
        <v>3500</v>
      </c>
      <c r="I6" s="4">
        <f>Лист2!I8</f>
        <v>3500</v>
      </c>
      <c r="J6" s="4">
        <f>Лист2!J8</f>
        <v>3500</v>
      </c>
    </row>
    <row r="22" spans="6:6" x14ac:dyDescent="0.2">
      <c r="F22" t="s">
        <v>4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1C14-AE3F-3E47-898D-23E8FFF33469}">
  <dimension ref="A1:J8"/>
  <sheetViews>
    <sheetView workbookViewId="0"/>
  </sheetViews>
  <sheetFormatPr baseColWidth="10" defaultRowHeight="15" x14ac:dyDescent="0.2"/>
  <cols>
    <col min="1" max="1" width="22" customWidth="1"/>
    <col min="2" max="2" width="13.5" customWidth="1"/>
  </cols>
  <sheetData>
    <row r="1" spans="1:10" x14ac:dyDescent="0.2">
      <c r="A1" t="s">
        <v>9</v>
      </c>
    </row>
    <row r="3" spans="1:10" x14ac:dyDescent="0.2">
      <c r="B3" t="s">
        <v>6</v>
      </c>
      <c r="E3" t="s">
        <v>7</v>
      </c>
      <c r="H3" t="s">
        <v>8</v>
      </c>
    </row>
    <row r="4" spans="1:10" x14ac:dyDescent="0.2">
      <c r="B4" t="s">
        <v>10</v>
      </c>
      <c r="C4" t="s">
        <v>11</v>
      </c>
      <c r="D4" t="s">
        <v>5</v>
      </c>
      <c r="E4" t="s">
        <v>10</v>
      </c>
      <c r="F4" t="s">
        <v>11</v>
      </c>
      <c r="G4" t="s">
        <v>5</v>
      </c>
      <c r="H4" t="s">
        <v>10</v>
      </c>
      <c r="I4" t="s">
        <v>11</v>
      </c>
      <c r="J4" t="s">
        <v>5</v>
      </c>
    </row>
    <row r="5" spans="1:10" x14ac:dyDescent="0.2">
      <c r="A5" t="s">
        <v>2</v>
      </c>
      <c r="B5">
        <v>1200</v>
      </c>
      <c r="C5">
        <v>1200</v>
      </c>
      <c r="D5">
        <v>1200</v>
      </c>
      <c r="E5">
        <v>1200</v>
      </c>
      <c r="F5">
        <v>1200</v>
      </c>
      <c r="G5">
        <v>1200</v>
      </c>
      <c r="H5">
        <v>1200</v>
      </c>
      <c r="I5">
        <v>1200</v>
      </c>
      <c r="J5">
        <v>1200</v>
      </c>
    </row>
    <row r="6" spans="1:10" x14ac:dyDescent="0.2">
      <c r="A6" t="s">
        <v>2</v>
      </c>
      <c r="B6">
        <v>3200</v>
      </c>
      <c r="C6">
        <v>8500</v>
      </c>
      <c r="D6">
        <v>750</v>
      </c>
      <c r="E6">
        <v>3200</v>
      </c>
      <c r="F6">
        <v>8500</v>
      </c>
      <c r="G6">
        <v>900</v>
      </c>
      <c r="H6">
        <v>3200</v>
      </c>
      <c r="I6">
        <v>8500</v>
      </c>
      <c r="J6">
        <v>750</v>
      </c>
    </row>
    <row r="7" spans="1:10" x14ac:dyDescent="0.2">
      <c r="A7" t="s">
        <v>3</v>
      </c>
      <c r="B7">
        <v>5800</v>
      </c>
      <c r="C7">
        <v>12000</v>
      </c>
      <c r="D7">
        <v>5800</v>
      </c>
      <c r="E7">
        <v>5800</v>
      </c>
      <c r="F7">
        <v>5800</v>
      </c>
      <c r="G7">
        <v>5800</v>
      </c>
      <c r="H7">
        <v>5800</v>
      </c>
      <c r="I7">
        <v>12000</v>
      </c>
      <c r="J7">
        <v>5800</v>
      </c>
    </row>
    <row r="8" spans="1:10" x14ac:dyDescent="0.2">
      <c r="A8" t="s">
        <v>3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5800</v>
      </c>
      <c r="H8">
        <v>3500</v>
      </c>
      <c r="I8">
        <v>3500</v>
      </c>
      <c r="J8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Boris Safoklov</cp:lastModifiedBy>
  <dcterms:created xsi:type="dcterms:W3CDTF">2026-04-08T12:51:37Z</dcterms:created>
  <dcterms:modified xsi:type="dcterms:W3CDTF">2026-04-27T18:35:13Z</dcterms:modified>
</cp:coreProperties>
</file>