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Lab1\Халезов\БЛА\Новая папка\"/>
    </mc:Choice>
  </mc:AlternateContent>
  <bookViews>
    <workbookView xWindow="0" yWindow="0" windowWidth="17550" windowHeight="10215"/>
  </bookViews>
  <sheets>
    <sheet name="Лист 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91" i="3" l="1"/>
  <c r="AI92" i="3"/>
  <c r="A91" i="3"/>
  <c r="A92" i="3"/>
  <c r="A93" i="3"/>
  <c r="A94" i="3"/>
  <c r="AI36" i="3"/>
  <c r="AI37" i="3"/>
  <c r="AI38" i="3"/>
  <c r="AI39" i="3"/>
  <c r="AI40" i="3"/>
  <c r="AI41" i="3"/>
  <c r="AI42" i="3" s="1"/>
  <c r="AI43" i="3" s="1"/>
  <c r="AI44" i="3" s="1"/>
  <c r="AI45" i="3" s="1"/>
  <c r="AI46" i="3" s="1"/>
  <c r="AI47" i="3" s="1"/>
  <c r="AI48" i="3" s="1"/>
  <c r="AI49" i="3" s="1"/>
  <c r="AI50" i="3" s="1"/>
  <c r="AI51" i="3" s="1"/>
  <c r="AI52" i="3" s="1"/>
  <c r="AI53" i="3" s="1"/>
  <c r="AI54" i="3" s="1"/>
  <c r="AI55" i="3" s="1"/>
  <c r="AI56" i="3" s="1"/>
  <c r="AI57" i="3" s="1"/>
  <c r="AI58" i="3" s="1"/>
  <c r="AI59" i="3" s="1"/>
  <c r="AI60" i="3" s="1"/>
  <c r="AI61" i="3" s="1"/>
  <c r="AI62" i="3" s="1"/>
  <c r="AI63" i="3" s="1"/>
  <c r="AI64" i="3" s="1"/>
  <c r="AI65" i="3" s="1"/>
  <c r="AI66" i="3" s="1"/>
  <c r="AI67" i="3" s="1"/>
  <c r="AI68" i="3" s="1"/>
  <c r="AI69" i="3" s="1"/>
  <c r="AI70" i="3" s="1"/>
  <c r="AI71" i="3" s="1"/>
  <c r="AI72" i="3" s="1"/>
  <c r="AI73" i="3" s="1"/>
  <c r="AI74" i="3" s="1"/>
  <c r="AI75" i="3" s="1"/>
  <c r="AI76" i="3" s="1"/>
  <c r="AI77" i="3" s="1"/>
  <c r="AI78" i="3" s="1"/>
  <c r="AI79" i="3" s="1"/>
  <c r="AI80" i="3" s="1"/>
  <c r="AI81" i="3" s="1"/>
  <c r="AI82" i="3" s="1"/>
  <c r="AI83" i="3" s="1"/>
  <c r="R36" i="3"/>
  <c r="R37" i="3"/>
  <c r="A36" i="3"/>
  <c r="A37" i="3"/>
  <c r="A38" i="3"/>
  <c r="A39" i="3"/>
  <c r="A8" i="3"/>
  <c r="A9" i="3"/>
  <c r="A10" i="3"/>
  <c r="A11" i="3"/>
  <c r="A12" i="3"/>
  <c r="A13" i="3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R35" i="3" l="1"/>
  <c r="AI90" i="3"/>
  <c r="A90" i="3"/>
  <c r="AY90" i="3"/>
  <c r="AU90" i="3"/>
  <c r="AT90" i="3"/>
  <c r="AY89" i="3"/>
  <c r="AU89" i="3"/>
  <c r="AT89" i="3"/>
  <c r="AY92" i="3"/>
  <c r="AU92" i="3"/>
  <c r="AT92" i="3"/>
  <c r="AY91" i="3"/>
  <c r="AU91" i="3"/>
  <c r="AT91" i="3"/>
  <c r="AH89" i="3"/>
  <c r="AD89" i="3"/>
  <c r="AC89" i="3"/>
  <c r="AH6" i="3"/>
  <c r="AD6" i="3"/>
  <c r="AC6" i="3"/>
  <c r="Q13" i="3"/>
  <c r="M13" i="3"/>
  <c r="L13" i="3"/>
  <c r="Q27" i="3"/>
  <c r="M27" i="3"/>
  <c r="L27" i="3"/>
  <c r="Q24" i="3"/>
  <c r="M24" i="3"/>
  <c r="L24" i="3"/>
  <c r="Q25" i="3"/>
  <c r="M25" i="3"/>
  <c r="L25" i="3"/>
  <c r="Q28" i="3"/>
  <c r="M28" i="3"/>
  <c r="L28" i="3"/>
  <c r="Q12" i="3"/>
  <c r="M12" i="3"/>
  <c r="L12" i="3"/>
  <c r="Q11" i="3"/>
  <c r="Q10" i="3"/>
  <c r="Q9" i="3"/>
  <c r="Q8" i="3"/>
  <c r="M8" i="3"/>
  <c r="L8" i="3"/>
  <c r="Q19" i="3"/>
  <c r="M19" i="3"/>
  <c r="L19" i="3"/>
  <c r="Q16" i="3"/>
  <c r="M16" i="3"/>
  <c r="L16" i="3"/>
  <c r="Q23" i="3"/>
  <c r="M23" i="3"/>
  <c r="L23" i="3"/>
  <c r="A7" i="3" l="1"/>
  <c r="A35" i="3"/>
  <c r="AI35" i="3"/>
</calcChain>
</file>

<file path=xl/sharedStrings.xml><?xml version="1.0" encoding="utf-8"?>
<sst xmlns="http://schemas.openxmlformats.org/spreadsheetml/2006/main" count="519" uniqueCount="215">
  <si>
    <t>Электрические БЛА</t>
  </si>
  <si>
    <t>Топливные БЛА</t>
  </si>
  <si>
    <t>№</t>
  </si>
  <si>
    <t>Характеристики</t>
  </si>
  <si>
    <t>Взлетный Вес,кг</t>
  </si>
  <si>
    <t>Размах крыльев,м</t>
  </si>
  <si>
    <t>Практическая дальность,км</t>
  </si>
  <si>
    <t>Длительность полета, час</t>
  </si>
  <si>
    <t>Максимальная скорость полета, км/ч</t>
  </si>
  <si>
    <t>Практический потолок,м</t>
  </si>
  <si>
    <t>Метод запуска</t>
  </si>
  <si>
    <t>Метод посадки</t>
  </si>
  <si>
    <t>Наименование БЛА</t>
  </si>
  <si>
    <t>AeroVironment Puma</t>
  </si>
  <si>
    <t>EMT Aladin</t>
  </si>
  <si>
    <t>senseFly eBee / eBee X</t>
  </si>
  <si>
    <t>WASP</t>
  </si>
  <si>
    <t>Parrot Disco</t>
  </si>
  <si>
    <t>Delair DT18 / DT26</t>
  </si>
  <si>
    <t>Lehmann S-20</t>
  </si>
  <si>
    <t>Altair A220</t>
  </si>
  <si>
    <t>ZALA 421-16Е</t>
  </si>
  <si>
    <t>Luna X2000 / Luna NG</t>
  </si>
  <si>
    <t>Aeronautics Orbiter 3</t>
  </si>
  <si>
    <t>Skywalker X8 / X10</t>
  </si>
  <si>
    <t>Pteryx UAV</t>
  </si>
  <si>
    <t>Bayraktar Mini</t>
  </si>
  <si>
    <t>Phoenix P30</t>
  </si>
  <si>
    <t>BlueBear LUMEN</t>
  </si>
  <si>
    <t>Flexrotor</t>
  </si>
  <si>
    <t>ALTI Transition</t>
  </si>
  <si>
    <t>Гибридные БЛА</t>
  </si>
  <si>
    <t>Eleron-10SV</t>
  </si>
  <si>
    <t>Lilienthal UAV</t>
  </si>
  <si>
    <t>ScanEagle</t>
  </si>
  <si>
    <t>Textron Aerosonde</t>
  </si>
  <si>
    <t>Watchkeeper WK450</t>
  </si>
  <si>
    <t>MQ-9 Reaper</t>
  </si>
  <si>
    <t>RQ-4A Global Hawk</t>
  </si>
  <si>
    <t>SkyGuardian</t>
  </si>
  <si>
    <t>General Atomics Avenger</t>
  </si>
  <si>
    <t>Yabhon United 40</t>
  </si>
  <si>
    <t>Shahed-129 / Shahed-149</t>
  </si>
  <si>
    <t>Mohajer-6 / Mohajer-10</t>
  </si>
  <si>
    <t>CASIC WJ-700</t>
  </si>
  <si>
    <t>Tupolev Tu-143 Reys</t>
  </si>
  <si>
    <t>Tupolev Tu-300 Korshun</t>
  </si>
  <si>
    <t>SAGEM Sperwer</t>
  </si>
  <si>
    <t>V1 Cinture</t>
  </si>
  <si>
    <t>Navmar Sciences RN-14</t>
  </si>
  <si>
    <t>QinetiQ Banshee</t>
  </si>
  <si>
    <t xml:space="preserve">Orlan-10 </t>
  </si>
  <si>
    <t xml:space="preserve">Penguin B </t>
  </si>
  <si>
    <t>Airbus Zephyr / Zephyr 8</t>
  </si>
  <si>
    <t>Kratos XQ-58A Valkyrie</t>
  </si>
  <si>
    <t>nEUROn</t>
  </si>
  <si>
    <t xml:space="preserve">Taranis </t>
  </si>
  <si>
    <t>Год выпуска</t>
  </si>
  <si>
    <t>катапульта</t>
  </si>
  <si>
    <t>парашют</t>
  </si>
  <si>
    <t>планирование</t>
  </si>
  <si>
    <t>с руки</t>
  </si>
  <si>
    <t>CH-4</t>
  </si>
  <si>
    <t>CH-5</t>
  </si>
  <si>
    <t>CH-3</t>
  </si>
  <si>
    <t>трос</t>
  </si>
  <si>
    <t>брюхо</t>
  </si>
  <si>
    <t>на ВПП</t>
  </si>
  <si>
    <t>взлет с ВПП</t>
  </si>
  <si>
    <t>посадка на ВПП</t>
  </si>
  <si>
    <t>ВПП</t>
  </si>
  <si>
    <t>Elbit Hermes 900</t>
  </si>
  <si>
    <t>Elbit Hermes 450</t>
  </si>
  <si>
    <t>IAI Eitan</t>
  </si>
  <si>
    <t>IAI Heron</t>
  </si>
  <si>
    <t>Планирование, автопосадка</t>
  </si>
  <si>
    <t>Катапульта</t>
  </si>
  <si>
    <t>Парашют/сетка</t>
  </si>
  <si>
    <t>Пускач</t>
  </si>
  <si>
    <t>Автоплан/глайдинг</t>
  </si>
  <si>
    <t>Парашют/надувной амортизатор/сетка</t>
  </si>
  <si>
    <t>С руки</t>
  </si>
  <si>
    <t>С руки/катапульта</t>
  </si>
  <si>
    <t>Планирование/парашют</t>
  </si>
  <si>
    <t>Парашют/подвес</t>
  </si>
  <si>
    <t>Электрический VTOL</t>
  </si>
  <si>
    <t>VTOL посадка</t>
  </si>
  <si>
    <t>4600-7600</t>
  </si>
  <si>
    <t>Конвенциональный с ВПП</t>
  </si>
  <si>
    <t>Автопосадка/парашют</t>
  </si>
  <si>
    <t>3-8</t>
  </si>
  <si>
    <t>VTOL</t>
  </si>
  <si>
    <t>VTOL/ Без ВПП</t>
  </si>
  <si>
    <t>Парашют</t>
  </si>
  <si>
    <t>Взлет с ВПП</t>
  </si>
  <si>
    <t>Посадка на ВПП</t>
  </si>
  <si>
    <t>Ракетный запуск</t>
  </si>
  <si>
    <t>Парашют + амортизатор</t>
  </si>
  <si>
    <t>RQ-11 Raven</t>
  </si>
  <si>
    <t>Автоматическая посадка/глубокий свал</t>
  </si>
  <si>
    <t>Планирование</t>
  </si>
  <si>
    <t>Трационная посадка</t>
  </si>
  <si>
    <t>Пуск с ракетного ускорителя</t>
  </si>
  <si>
    <t>Посадка с парашютом</t>
  </si>
  <si>
    <t>Реактивный старт</t>
  </si>
  <si>
    <t>Тормозной парашют</t>
  </si>
  <si>
    <t>Пневматическая катапульта</t>
  </si>
  <si>
    <t>Взлетт с короткой ВПП</t>
  </si>
  <si>
    <t>Посадка на шасси</t>
  </si>
  <si>
    <t>Посадка на парашют</t>
  </si>
  <si>
    <t>Относительная масса полезной нагрузки</t>
  </si>
  <si>
    <t>Относительная масса планера</t>
  </si>
  <si>
    <t>Ссылки на источник</t>
  </si>
  <si>
    <t>https://en.wikipedia.org/wiki/AeroVironment_RQ-11_Raven</t>
  </si>
  <si>
    <t>https://en.wikipedia.org/wiki/AeroVironment_RQ-20_Puma</t>
  </si>
  <si>
    <t>https://www.militaryfactory.com/aircraft/detail.php?aircraft_id=1440</t>
  </si>
  <si>
    <t>https://www.aemmesurveying.it/en/sensefly-ebee/</t>
  </si>
  <si>
    <t>https://en.topwar.ru/15466-novy-malyy-bpla-wasp-ae.html</t>
  </si>
  <si>
    <t>https://reduxair.com/products/parrot-disco-pro-ag-agriculture-drone</t>
  </si>
  <si>
    <t>https://www.environmental-expert.com/products/delair-model-dt26-open-payload-drones-654166</t>
  </si>
  <si>
    <t>https://robotrends.ru/robopedia/zala-421-16e</t>
  </si>
  <si>
    <t>https://www.army-technology.com/projects/luna/</t>
  </si>
  <si>
    <t>https://aeronautics-sys.com/systems/orbiter-3/</t>
  </si>
  <si>
    <t>https://baykartech.com/en/uav/bayraktar-mini-iha/</t>
  </si>
  <si>
    <t>https://airsea.ucsd.edu/instrumentation/uav/</t>
  </si>
  <si>
    <t>https://en.wikipedia.org/wiki/Thales_Watchkeeper_WK450</t>
  </si>
  <si>
    <t>https://www.designation-systems.net/dusrm/app2/q-19.html</t>
  </si>
  <si>
    <t>https://en.wikipedia.org/wiki/Northrop_Grumman_RQ-4_Global_Hawk</t>
  </si>
  <si>
    <t>https://defence-industry.eu/Israel-Iaf-uses-hermes-450-drones-for-precision-strikes-on-hamas-targets/</t>
  </si>
  <si>
    <t>https://en.wikipedia.org/wiki/Elbit_Hermes_900</t>
  </si>
  <si>
    <t>https://www.israeli-weapons.com/weapons/aircraft/uav/heron/Heron.html</t>
  </si>
  <si>
    <t>https://www.ga-asi.com/remotely-piloted-aircraft/predator-c-avenger</t>
  </si>
  <si>
    <t>https://en.wikipedia.org/wiki/CASC_Rainbow</t>
  </si>
  <si>
    <t>https://en.wikipedia.org/wiki/Shahed_129</t>
  </si>
  <si>
    <t>https://armyrecognition.com/news/aerospace-news/2024/algeria-acquires-advanced-wj-700-falcon-drones-from-china</t>
  </si>
  <si>
    <t>https://www.16va.be/3.4_la_reco_part8_eng.html</t>
  </si>
  <si>
    <t>https://www.eurasiantimes.com/russia-to-deploy-the-iconic-tu-300-korshun-u/</t>
  </si>
  <si>
    <t>https://www.deagel.com/Aerospace%20Forces/Sperwer/a000213</t>
  </si>
  <si>
    <t>https://www.suasnews.com/2016/06/44085/</t>
  </si>
  <si>
    <t>https://www.airbus.com/en/products-services/defence/uas/flexrotor</t>
  </si>
  <si>
    <t>https://en.wikipedia.org/wiki/STC_Orlan-10</t>
  </si>
  <si>
    <t>https://pdf.aeroexpo.online/pdf/uav-factory-ltd-europe/penguin-b-datasheet/174156-250.html</t>
  </si>
  <si>
    <t>https://www.airbus.com/en/newsroom/press-releases/2020-12-the-airbus-zephyr-solar-high-altitude-platform-station-haps</t>
  </si>
  <si>
    <t>https://en.wikipedia.org/wiki/Kratos_XQ-58_Valkyrie</t>
  </si>
  <si>
    <t>https://defenceredefined.com.cy/neuron-the-european-stealth-ucav-developed-with-the-contribution-of-hai-photos-video/</t>
  </si>
  <si>
    <t>Масса топлива</t>
  </si>
  <si>
    <t>Thales Spy'Ranger 550</t>
  </si>
  <si>
    <t>C-Astral Bramor ppX</t>
  </si>
  <si>
    <t>Airbus DVF 2000 ER</t>
  </si>
  <si>
    <t>Orbiter 3B</t>
  </si>
  <si>
    <t>А.Г. Гребеников, А.К. Мялица, В.В. Парфенюк, О.И. Парфенюк, С.В. Удовиченко ОБЩИЕ ВИДЫ И ХАРАКТЕРИСТИКИ БЕСПИЛОТНЫХ ЛЕТАТЕЛЬНЫХ АППАРАТОВ</t>
  </si>
  <si>
    <t>Skyeye 5000</t>
  </si>
  <si>
    <t>ALTI Ascend</t>
  </si>
  <si>
    <t>Silent Falcon</t>
  </si>
  <si>
    <t>Aerosonde Mk 3.2</t>
  </si>
  <si>
    <t>Epervier TU-150</t>
  </si>
  <si>
    <t>Phoenix RPV-5</t>
  </si>
  <si>
    <t>Brevel TUAV</t>
  </si>
  <si>
    <t>Aerostar TUAV</t>
  </si>
  <si>
    <t>Hermes 1500</t>
  </si>
  <si>
    <t>Hermes 450</t>
  </si>
  <si>
    <t>Hermes 450S</t>
  </si>
  <si>
    <t>Heron (Mahatz 1)</t>
  </si>
  <si>
    <t>Mastiff</t>
  </si>
  <si>
    <t>Scout Mk II</t>
  </si>
  <si>
    <t>RQ-5A Hunter</t>
  </si>
  <si>
    <t>CL-89</t>
  </si>
  <si>
    <t>ASN-206</t>
  </si>
  <si>
    <t>Пчела-1Т</t>
  </si>
  <si>
    <t>Tu-141 Стриж</t>
  </si>
  <si>
    <t>Tu-143 Рейс</t>
  </si>
  <si>
    <t>Tu-243 Рейс-Д</t>
  </si>
  <si>
    <t>Tu-300 Коршун</t>
  </si>
  <si>
    <t>Ла-17РМ</t>
  </si>
  <si>
    <t>MQ-1 Predator (RQ-1)</t>
  </si>
  <si>
    <t>RQ-4 Global Hawk (Block B)</t>
  </si>
  <si>
    <t>RQ-2 Pioneer</t>
  </si>
  <si>
    <t>Gnat 750</t>
  </si>
  <si>
    <t>С крыши автомобиля</t>
  </si>
  <si>
    <t>Лыжи</t>
  </si>
  <si>
    <t>Катапульта с ускорителем</t>
  </si>
  <si>
    <t>Гидропневматическая катапульта</t>
  </si>
  <si>
    <t>Катапульта (ракетный ускоритель)</t>
  </si>
  <si>
    <t>Парашют + воздушные мешки</t>
  </si>
  <si>
    <t>Колёсный / катапульта</t>
  </si>
  <si>
    <t>Колёсная</t>
  </si>
  <si>
    <t>Колёсная / тросовая</t>
  </si>
  <si>
    <t>Катапульта с пороховым ускорителем</t>
  </si>
  <si>
    <t>С тележки с ракетным ускорителем</t>
  </si>
  <si>
    <t>С тележки с РУ</t>
  </si>
  <si>
    <t>Катапульта / РУ</t>
  </si>
  <si>
    <t>Катапульта / тележка с РУ</t>
  </si>
  <si>
    <t>RQ-3 DarkStar</t>
  </si>
  <si>
    <t>Model 324 Scarab</t>
  </si>
  <si>
    <t>Катапульта / тележка</t>
  </si>
  <si>
    <t>Silver Arrow 180</t>
  </si>
  <si>
    <t>Searcher II</t>
  </si>
  <si>
    <t>Sperwer</t>
  </si>
  <si>
    <t>Mirach 100/4</t>
  </si>
  <si>
    <t>Типчак</t>
  </si>
  <si>
    <t>Tu-123 Ястреб</t>
  </si>
  <si>
    <t>Катапульта / ускоритель</t>
  </si>
  <si>
    <t>Condor</t>
  </si>
  <si>
    <t>Skylark II</t>
  </si>
  <si>
    <t>BirdEye 400</t>
  </si>
  <si>
    <t>Ручной / катапульта</t>
  </si>
  <si>
    <t>Брюхо</t>
  </si>
  <si>
    <t>ВПП / катапульта</t>
  </si>
  <si>
    <t>Сетка / ВПП</t>
  </si>
  <si>
    <t>С тележки</t>
  </si>
  <si>
    <t>Транспортная эффективность</t>
  </si>
  <si>
    <t>Полезная нагрузка, кг</t>
  </si>
  <si>
    <t xml:space="preserve">До 30 кг </t>
  </si>
  <si>
    <t xml:space="preserve">От 30 кг до 100 кг </t>
  </si>
  <si>
    <t>От 100 кги более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</si>
</sst>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2" fontId="1" fillId="0" borderId="18" xfId="0" applyNumberFormat="1" applyFont="1" applyBorder="1" applyAlignment="1">
      <alignment horizontal="center" vertical="center"/>
    </xf>
    <xf numFmtId="2" fontId="1" fillId="0" borderId="18" xfId="0" applyNumberFormat="1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609599</xdr:colOff>
      <xdr:row>3</xdr:row>
      <xdr:rowOff>0</xdr:rowOff>
    </xdr:from>
    <xdr:ext cx="113347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/>
            <xdr:cNvSpPr txBox="1"/>
          </xdr:nvSpPr>
          <xdr:spPr>
            <a:xfrm>
              <a:off x="6705599" y="571500"/>
              <a:ext cx="11334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пн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/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взл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5" name="TextBox 4"/>
            <xdr:cNvSpPr txBox="1"/>
          </xdr:nvSpPr>
          <xdr:spPr>
            <a:xfrm>
              <a:off x="6705599" y="571500"/>
              <a:ext cx="11334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пн</a:t>
              </a:r>
              <a:r>
                <a:rPr lang="en-US" sz="1100" b="0" i="0">
                  <a:latin typeface="Cambria Math" panose="02040503050406030204" pitchFamily="18" charset="0"/>
                </a:rPr>
                <a:t>/𝑚_</a:t>
              </a:r>
              <a:r>
                <a:rPr lang="ru-RU" sz="1100" b="0" i="0">
                  <a:latin typeface="Cambria Math" panose="02040503050406030204" pitchFamily="18" charset="0"/>
                </a:rPr>
                <a:t>взл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13</xdr:col>
      <xdr:colOff>47623</xdr:colOff>
      <xdr:row>3</xdr:row>
      <xdr:rowOff>0</xdr:rowOff>
    </xdr:from>
    <xdr:ext cx="211455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/>
            <xdr:cNvSpPr txBox="1"/>
          </xdr:nvSpPr>
          <xdr:spPr>
            <a:xfrm>
              <a:off x="7972423" y="571500"/>
              <a:ext cx="211455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ru-RU" sz="1100" b="0" i="1">
                      <a:latin typeface="Cambria Math" panose="02040503050406030204" pitchFamily="18" charset="0"/>
                    </a:rPr>
                    <m:t>(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latin typeface="Cambria Math" panose="02040503050406030204" pitchFamily="18" charset="0"/>
                        </a:rPr>
                        <m:t>взл</m:t>
                      </m:r>
                    </m:sub>
                  </m:sSub>
                  <m:r>
                    <a:rPr lang="ru-RU" sz="1100" b="0" i="1">
                      <a:latin typeface="Cambria Math" panose="02040503050406030204" pitchFamily="18" charset="0"/>
                    </a:rPr>
                    <m:t>−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пн</m:t>
                      </m:r>
                    </m:sub>
                  </m:sSub>
                  <m:r>
                    <a:rPr lang="ru-RU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− 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топл</m:t>
                      </m:r>
                    </m:sub>
                  </m:sSub>
                </m:oMath>
              </a14:m>
              <a:r>
                <a:rPr lang="ru-RU">
                  <a:effectLst/>
                </a:rPr>
                <a:t>) </a:t>
              </a:r>
              <a:r>
                <a:rPr lang="en-US">
                  <a:effectLst/>
                </a:rPr>
                <a:t>/</a:t>
              </a:r>
              <a14:m>
                <m:oMath xmlns:m="http://schemas.openxmlformats.org/officeDocument/2006/math">
                  <m:r>
                    <a:rPr lang="ru-RU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взл</m:t>
                      </m:r>
                    </m:sub>
                  </m:sSub>
                </m:oMath>
              </a14:m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RU">
                <a:effectLst/>
              </a:endParaRPr>
            </a:p>
          </xdr:txBody>
        </xdr:sp>
      </mc:Choice>
      <mc:Fallback xmlns="">
        <xdr:sp macro="" textlink="">
          <xdr:nvSpPr>
            <xdr:cNvPr id="7" name="TextBox 6"/>
            <xdr:cNvSpPr txBox="1"/>
          </xdr:nvSpPr>
          <xdr:spPr>
            <a:xfrm>
              <a:off x="7972423" y="571500"/>
              <a:ext cx="211455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𝑚_</a:t>
              </a:r>
              <a:r>
                <a:rPr lang="ru-RU" sz="1100" b="0" i="0">
                  <a:latin typeface="Cambria Math" panose="02040503050406030204" pitchFamily="18" charset="0"/>
                </a:rPr>
                <a:t>взл−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пн  −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топл</a:t>
              </a:r>
              <a:r>
                <a:rPr lang="ru-RU">
                  <a:effectLst/>
                </a:rPr>
                <a:t>) </a:t>
              </a:r>
              <a:r>
                <a:rPr lang="en-US">
                  <a:effectLst/>
                </a:rPr>
                <a:t>/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взл</a:t>
              </a:r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RU">
                <a:effectLst/>
              </a:endParaRPr>
            </a:p>
          </xdr:txBody>
        </xdr:sp>
      </mc:Fallback>
    </mc:AlternateContent>
    <xdr:clientData/>
  </xdr:oneCellAnchor>
  <xdr:oneCellAnchor>
    <xdr:from>
      <xdr:col>30</xdr:col>
      <xdr:colOff>47623</xdr:colOff>
      <xdr:row>3</xdr:row>
      <xdr:rowOff>0</xdr:rowOff>
    </xdr:from>
    <xdr:ext cx="211455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/>
            <xdr:cNvSpPr txBox="1"/>
          </xdr:nvSpPr>
          <xdr:spPr>
            <a:xfrm>
              <a:off x="7972423" y="571500"/>
              <a:ext cx="211455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ru-RU" sz="1100" b="0" i="1">
                      <a:latin typeface="Cambria Math" panose="02040503050406030204" pitchFamily="18" charset="0"/>
                    </a:rPr>
                    <m:t>(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latin typeface="Cambria Math" panose="02040503050406030204" pitchFamily="18" charset="0"/>
                        </a:rPr>
                        <m:t>взл</m:t>
                      </m:r>
                    </m:sub>
                  </m:sSub>
                  <m:r>
                    <a:rPr lang="ru-RU" sz="1100" b="0" i="1">
                      <a:latin typeface="Cambria Math" panose="02040503050406030204" pitchFamily="18" charset="0"/>
                    </a:rPr>
                    <m:t>−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пн</m:t>
                      </m:r>
                    </m:sub>
                  </m:sSub>
                  <m:r>
                    <a:rPr lang="ru-RU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− 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топл</m:t>
                      </m:r>
                    </m:sub>
                  </m:sSub>
                </m:oMath>
              </a14:m>
              <a:r>
                <a:rPr lang="ru-RU">
                  <a:effectLst/>
                </a:rPr>
                <a:t>) </a:t>
              </a:r>
              <a:r>
                <a:rPr lang="en-US">
                  <a:effectLst/>
                </a:rPr>
                <a:t>/</a:t>
              </a:r>
              <a14:m>
                <m:oMath xmlns:m="http://schemas.openxmlformats.org/officeDocument/2006/math">
                  <m:r>
                    <a:rPr lang="ru-RU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взл</m:t>
                      </m:r>
                    </m:sub>
                  </m:sSub>
                </m:oMath>
              </a14:m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RU">
                <a:effectLst/>
              </a:endParaRPr>
            </a:p>
          </xdr:txBody>
        </xdr:sp>
      </mc:Choice>
      <mc:Fallback xmlns="">
        <xdr:sp macro="" textlink="">
          <xdr:nvSpPr>
            <xdr:cNvPr id="8" name="TextBox 7"/>
            <xdr:cNvSpPr txBox="1"/>
          </xdr:nvSpPr>
          <xdr:spPr>
            <a:xfrm>
              <a:off x="7972423" y="571500"/>
              <a:ext cx="211455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𝑚_</a:t>
              </a:r>
              <a:r>
                <a:rPr lang="ru-RU" sz="1100" b="0" i="0">
                  <a:latin typeface="Cambria Math" panose="02040503050406030204" pitchFamily="18" charset="0"/>
                </a:rPr>
                <a:t>взл−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пн  −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топл</a:t>
              </a:r>
              <a:r>
                <a:rPr lang="ru-RU">
                  <a:effectLst/>
                </a:rPr>
                <a:t>) </a:t>
              </a:r>
              <a:r>
                <a:rPr lang="en-US">
                  <a:effectLst/>
                </a:rPr>
                <a:t>/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взл</a:t>
              </a:r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RU">
                <a:effectLst/>
              </a:endParaRPr>
            </a:p>
          </xdr:txBody>
        </xdr:sp>
      </mc:Fallback>
    </mc:AlternateContent>
    <xdr:clientData/>
  </xdr:oneCellAnchor>
  <xdr:oneCellAnchor>
    <xdr:from>
      <xdr:col>47</xdr:col>
      <xdr:colOff>47623</xdr:colOff>
      <xdr:row>3</xdr:row>
      <xdr:rowOff>0</xdr:rowOff>
    </xdr:from>
    <xdr:ext cx="211455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/>
            <xdr:cNvSpPr txBox="1"/>
          </xdr:nvSpPr>
          <xdr:spPr>
            <a:xfrm>
              <a:off x="18335623" y="571500"/>
              <a:ext cx="211455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ru-RU" sz="1100" b="0" i="1">
                      <a:latin typeface="Cambria Math" panose="02040503050406030204" pitchFamily="18" charset="0"/>
                    </a:rPr>
                    <m:t>(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latin typeface="Cambria Math" panose="02040503050406030204" pitchFamily="18" charset="0"/>
                        </a:rPr>
                        <m:t>взл</m:t>
                      </m:r>
                    </m:sub>
                  </m:sSub>
                  <m:r>
                    <a:rPr lang="ru-RU" sz="1100" b="0" i="1">
                      <a:latin typeface="Cambria Math" panose="02040503050406030204" pitchFamily="18" charset="0"/>
                    </a:rPr>
                    <m:t>−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пн</m:t>
                      </m:r>
                    </m:sub>
                  </m:sSub>
                  <m:r>
                    <a:rPr lang="ru-RU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− 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топл</m:t>
                      </m:r>
                    </m:sub>
                  </m:sSub>
                </m:oMath>
              </a14:m>
              <a:r>
                <a:rPr lang="ru-RU">
                  <a:effectLst/>
                </a:rPr>
                <a:t>) </a:t>
              </a:r>
              <a:r>
                <a:rPr lang="en-US">
                  <a:effectLst/>
                </a:rPr>
                <a:t>/</a:t>
              </a:r>
              <a14:m>
                <m:oMath xmlns:m="http://schemas.openxmlformats.org/officeDocument/2006/math">
                  <m:r>
                    <a:rPr lang="ru-RU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взл</m:t>
                      </m:r>
                    </m:sub>
                  </m:sSub>
                </m:oMath>
              </a14:m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RU">
                <a:effectLst/>
              </a:endParaRPr>
            </a:p>
          </xdr:txBody>
        </xdr:sp>
      </mc:Choice>
      <mc:Fallback xmlns="">
        <xdr:sp macro="" textlink="">
          <xdr:nvSpPr>
            <xdr:cNvPr id="9" name="TextBox 8"/>
            <xdr:cNvSpPr txBox="1"/>
          </xdr:nvSpPr>
          <xdr:spPr>
            <a:xfrm>
              <a:off x="18335623" y="571500"/>
              <a:ext cx="211455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𝑚_</a:t>
              </a:r>
              <a:r>
                <a:rPr lang="ru-RU" sz="1100" b="0" i="0">
                  <a:latin typeface="Cambria Math" panose="02040503050406030204" pitchFamily="18" charset="0"/>
                </a:rPr>
                <a:t>взл−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пн  −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топл</a:t>
              </a:r>
              <a:r>
                <a:rPr lang="ru-RU">
                  <a:effectLst/>
                </a:rPr>
                <a:t>) </a:t>
              </a:r>
              <a:r>
                <a:rPr lang="en-US">
                  <a:effectLst/>
                </a:rPr>
                <a:t>/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взл</a:t>
              </a:r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RU">
                <a:effectLst/>
              </a:endParaRPr>
            </a:p>
          </xdr:txBody>
        </xdr:sp>
      </mc:Fallback>
    </mc:AlternateContent>
    <xdr:clientData/>
  </xdr:oneCellAnchor>
  <xdr:oneCellAnchor>
    <xdr:from>
      <xdr:col>10</xdr:col>
      <xdr:colOff>609599</xdr:colOff>
      <xdr:row>30</xdr:row>
      <xdr:rowOff>0</xdr:rowOff>
    </xdr:from>
    <xdr:ext cx="113347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/>
            <xdr:cNvSpPr txBox="1"/>
          </xdr:nvSpPr>
          <xdr:spPr>
            <a:xfrm>
              <a:off x="9496424" y="571500"/>
              <a:ext cx="11334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пн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/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взл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0" name="TextBox 9"/>
            <xdr:cNvSpPr txBox="1"/>
          </xdr:nvSpPr>
          <xdr:spPr>
            <a:xfrm>
              <a:off x="9496424" y="571500"/>
              <a:ext cx="11334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пн</a:t>
              </a:r>
              <a:r>
                <a:rPr lang="en-US" sz="1100" b="0" i="0">
                  <a:latin typeface="Cambria Math" panose="02040503050406030204" pitchFamily="18" charset="0"/>
                </a:rPr>
                <a:t>/𝑚_</a:t>
              </a:r>
              <a:r>
                <a:rPr lang="ru-RU" sz="1100" b="0" i="0">
                  <a:latin typeface="Cambria Math" panose="02040503050406030204" pitchFamily="18" charset="0"/>
                </a:rPr>
                <a:t>взл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13</xdr:col>
      <xdr:colOff>47623</xdr:colOff>
      <xdr:row>30</xdr:row>
      <xdr:rowOff>0</xdr:rowOff>
    </xdr:from>
    <xdr:ext cx="211455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/>
            <xdr:cNvSpPr txBox="1"/>
          </xdr:nvSpPr>
          <xdr:spPr>
            <a:xfrm>
              <a:off x="10763248" y="571500"/>
              <a:ext cx="211455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ru-RU" sz="1100" b="0" i="1">
                      <a:latin typeface="Cambria Math" panose="02040503050406030204" pitchFamily="18" charset="0"/>
                    </a:rPr>
                    <m:t>(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latin typeface="Cambria Math" panose="02040503050406030204" pitchFamily="18" charset="0"/>
                        </a:rPr>
                        <m:t>взл</m:t>
                      </m:r>
                    </m:sub>
                  </m:sSub>
                  <m:r>
                    <a:rPr lang="ru-RU" sz="1100" b="0" i="1">
                      <a:latin typeface="Cambria Math" panose="02040503050406030204" pitchFamily="18" charset="0"/>
                    </a:rPr>
                    <m:t>−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пн</m:t>
                      </m:r>
                    </m:sub>
                  </m:sSub>
                  <m:r>
                    <a:rPr lang="ru-RU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− 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топл</m:t>
                      </m:r>
                    </m:sub>
                  </m:sSub>
                </m:oMath>
              </a14:m>
              <a:r>
                <a:rPr lang="ru-RU">
                  <a:effectLst/>
                </a:rPr>
                <a:t>) </a:t>
              </a:r>
              <a:r>
                <a:rPr lang="en-US">
                  <a:effectLst/>
                </a:rPr>
                <a:t>/</a:t>
              </a:r>
              <a14:m>
                <m:oMath xmlns:m="http://schemas.openxmlformats.org/officeDocument/2006/math">
                  <m:r>
                    <a:rPr lang="ru-RU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взл</m:t>
                      </m:r>
                    </m:sub>
                  </m:sSub>
                </m:oMath>
              </a14:m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RU">
                <a:effectLst/>
              </a:endParaRPr>
            </a:p>
          </xdr:txBody>
        </xdr:sp>
      </mc:Choice>
      <mc:Fallback xmlns="">
        <xdr:sp macro="" textlink="">
          <xdr:nvSpPr>
            <xdr:cNvPr id="11" name="TextBox 10"/>
            <xdr:cNvSpPr txBox="1"/>
          </xdr:nvSpPr>
          <xdr:spPr>
            <a:xfrm>
              <a:off x="10763248" y="571500"/>
              <a:ext cx="211455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𝑚_</a:t>
              </a:r>
              <a:r>
                <a:rPr lang="ru-RU" sz="1100" b="0" i="0">
                  <a:latin typeface="Cambria Math" panose="02040503050406030204" pitchFamily="18" charset="0"/>
                </a:rPr>
                <a:t>взл−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пн  −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топл</a:t>
              </a:r>
              <a:r>
                <a:rPr lang="ru-RU">
                  <a:effectLst/>
                </a:rPr>
                <a:t>) </a:t>
              </a:r>
              <a:r>
                <a:rPr lang="en-US">
                  <a:effectLst/>
                </a:rPr>
                <a:t>/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взл</a:t>
              </a:r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RU">
                <a:effectLst/>
              </a:endParaRPr>
            </a:p>
          </xdr:txBody>
        </xdr:sp>
      </mc:Fallback>
    </mc:AlternateContent>
    <xdr:clientData/>
  </xdr:oneCellAnchor>
  <xdr:oneCellAnchor>
    <xdr:from>
      <xdr:col>30</xdr:col>
      <xdr:colOff>47623</xdr:colOff>
      <xdr:row>30</xdr:row>
      <xdr:rowOff>0</xdr:rowOff>
    </xdr:from>
    <xdr:ext cx="211455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/>
            <xdr:cNvSpPr txBox="1"/>
          </xdr:nvSpPr>
          <xdr:spPr>
            <a:xfrm>
              <a:off x="21269323" y="571500"/>
              <a:ext cx="211455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ru-RU" sz="1100" b="0" i="1">
                      <a:latin typeface="Cambria Math" panose="02040503050406030204" pitchFamily="18" charset="0"/>
                    </a:rPr>
                    <m:t>(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latin typeface="Cambria Math" panose="02040503050406030204" pitchFamily="18" charset="0"/>
                        </a:rPr>
                        <m:t>взл</m:t>
                      </m:r>
                    </m:sub>
                  </m:sSub>
                  <m:r>
                    <a:rPr lang="ru-RU" sz="1100" b="0" i="1">
                      <a:latin typeface="Cambria Math" panose="02040503050406030204" pitchFamily="18" charset="0"/>
                    </a:rPr>
                    <m:t>−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пн</m:t>
                      </m:r>
                    </m:sub>
                  </m:sSub>
                  <m:r>
                    <a:rPr lang="ru-RU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− 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топл</m:t>
                      </m:r>
                    </m:sub>
                  </m:sSub>
                </m:oMath>
              </a14:m>
              <a:r>
                <a:rPr lang="ru-RU">
                  <a:effectLst/>
                </a:rPr>
                <a:t>) </a:t>
              </a:r>
              <a:r>
                <a:rPr lang="en-US">
                  <a:effectLst/>
                </a:rPr>
                <a:t>/</a:t>
              </a:r>
              <a14:m>
                <m:oMath xmlns:m="http://schemas.openxmlformats.org/officeDocument/2006/math">
                  <m:r>
                    <a:rPr lang="ru-RU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взл</m:t>
                      </m:r>
                    </m:sub>
                  </m:sSub>
                </m:oMath>
              </a14:m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RU">
                <a:effectLst/>
              </a:endParaRPr>
            </a:p>
          </xdr:txBody>
        </xdr:sp>
      </mc:Choice>
      <mc:Fallback xmlns="">
        <xdr:sp macro="" textlink="">
          <xdr:nvSpPr>
            <xdr:cNvPr id="12" name="TextBox 11"/>
            <xdr:cNvSpPr txBox="1"/>
          </xdr:nvSpPr>
          <xdr:spPr>
            <a:xfrm>
              <a:off x="21269323" y="571500"/>
              <a:ext cx="211455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𝑚_</a:t>
              </a:r>
              <a:r>
                <a:rPr lang="ru-RU" sz="1100" b="0" i="0">
                  <a:latin typeface="Cambria Math" panose="02040503050406030204" pitchFamily="18" charset="0"/>
                </a:rPr>
                <a:t>взл−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пн  −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топл</a:t>
              </a:r>
              <a:r>
                <a:rPr lang="ru-RU">
                  <a:effectLst/>
                </a:rPr>
                <a:t>) </a:t>
              </a:r>
              <a:r>
                <a:rPr lang="en-US">
                  <a:effectLst/>
                </a:rPr>
                <a:t>/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взл</a:t>
              </a:r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RU">
                <a:effectLst/>
              </a:endParaRPr>
            </a:p>
          </xdr:txBody>
        </xdr:sp>
      </mc:Fallback>
    </mc:AlternateContent>
    <xdr:clientData/>
  </xdr:oneCellAnchor>
  <xdr:oneCellAnchor>
    <xdr:from>
      <xdr:col>47</xdr:col>
      <xdr:colOff>47623</xdr:colOff>
      <xdr:row>30</xdr:row>
      <xdr:rowOff>0</xdr:rowOff>
    </xdr:from>
    <xdr:ext cx="211455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/>
            <xdr:cNvSpPr txBox="1"/>
          </xdr:nvSpPr>
          <xdr:spPr>
            <a:xfrm>
              <a:off x="31584898" y="571500"/>
              <a:ext cx="211455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ru-RU" sz="1100" b="0" i="1">
                      <a:latin typeface="Cambria Math" panose="02040503050406030204" pitchFamily="18" charset="0"/>
                    </a:rPr>
                    <m:t>(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latin typeface="Cambria Math" panose="02040503050406030204" pitchFamily="18" charset="0"/>
                        </a:rPr>
                        <m:t>взл</m:t>
                      </m:r>
                    </m:sub>
                  </m:sSub>
                  <m:r>
                    <a:rPr lang="ru-RU" sz="1100" b="0" i="1">
                      <a:latin typeface="Cambria Math" panose="02040503050406030204" pitchFamily="18" charset="0"/>
                    </a:rPr>
                    <m:t>−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пн</m:t>
                      </m:r>
                    </m:sub>
                  </m:sSub>
                  <m:r>
                    <a:rPr lang="ru-RU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− 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топл</m:t>
                      </m:r>
                    </m:sub>
                  </m:sSub>
                </m:oMath>
              </a14:m>
              <a:r>
                <a:rPr lang="ru-RU">
                  <a:effectLst/>
                </a:rPr>
                <a:t>) </a:t>
              </a:r>
              <a:r>
                <a:rPr lang="en-US">
                  <a:effectLst/>
                </a:rPr>
                <a:t>/</a:t>
              </a:r>
              <a14:m>
                <m:oMath xmlns:m="http://schemas.openxmlformats.org/officeDocument/2006/math">
                  <m:r>
                    <a:rPr lang="ru-RU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взл</m:t>
                      </m:r>
                    </m:sub>
                  </m:sSub>
                </m:oMath>
              </a14:m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RU">
                <a:effectLst/>
              </a:endParaRPr>
            </a:p>
          </xdr:txBody>
        </xdr:sp>
      </mc:Choice>
      <mc:Fallback xmlns="">
        <xdr:sp macro="" textlink="">
          <xdr:nvSpPr>
            <xdr:cNvPr id="13" name="TextBox 12"/>
            <xdr:cNvSpPr txBox="1"/>
          </xdr:nvSpPr>
          <xdr:spPr>
            <a:xfrm>
              <a:off x="31584898" y="571500"/>
              <a:ext cx="211455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𝑚_</a:t>
              </a:r>
              <a:r>
                <a:rPr lang="ru-RU" sz="1100" b="0" i="0">
                  <a:latin typeface="Cambria Math" panose="02040503050406030204" pitchFamily="18" charset="0"/>
                </a:rPr>
                <a:t>взл−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пн  −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топл</a:t>
              </a:r>
              <a:r>
                <a:rPr lang="ru-RU">
                  <a:effectLst/>
                </a:rPr>
                <a:t>) </a:t>
              </a:r>
              <a:r>
                <a:rPr lang="en-US">
                  <a:effectLst/>
                </a:rPr>
                <a:t>/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взл</a:t>
              </a:r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RU">
                <a:effectLst/>
              </a:endParaRPr>
            </a:p>
          </xdr:txBody>
        </xdr:sp>
      </mc:Fallback>
    </mc:AlternateContent>
    <xdr:clientData/>
  </xdr:oneCellAnchor>
  <xdr:oneCellAnchor>
    <xdr:from>
      <xdr:col>10</xdr:col>
      <xdr:colOff>609599</xdr:colOff>
      <xdr:row>85</xdr:row>
      <xdr:rowOff>0</xdr:rowOff>
    </xdr:from>
    <xdr:ext cx="113347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/>
            <xdr:cNvSpPr txBox="1"/>
          </xdr:nvSpPr>
          <xdr:spPr>
            <a:xfrm>
              <a:off x="9496424" y="10668000"/>
              <a:ext cx="11334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пн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/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взл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4" name="TextBox 13"/>
            <xdr:cNvSpPr txBox="1"/>
          </xdr:nvSpPr>
          <xdr:spPr>
            <a:xfrm>
              <a:off x="9496424" y="10668000"/>
              <a:ext cx="11334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пн</a:t>
              </a:r>
              <a:r>
                <a:rPr lang="en-US" sz="1100" b="0" i="0">
                  <a:latin typeface="Cambria Math" panose="02040503050406030204" pitchFamily="18" charset="0"/>
                </a:rPr>
                <a:t>/𝑚_</a:t>
              </a:r>
              <a:r>
                <a:rPr lang="ru-RU" sz="1100" b="0" i="0">
                  <a:latin typeface="Cambria Math" panose="02040503050406030204" pitchFamily="18" charset="0"/>
                </a:rPr>
                <a:t>взл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13</xdr:col>
      <xdr:colOff>47623</xdr:colOff>
      <xdr:row>85</xdr:row>
      <xdr:rowOff>0</xdr:rowOff>
    </xdr:from>
    <xdr:ext cx="211455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/>
            <xdr:cNvSpPr txBox="1"/>
          </xdr:nvSpPr>
          <xdr:spPr>
            <a:xfrm>
              <a:off x="10763248" y="10668000"/>
              <a:ext cx="211455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ru-RU" sz="1100" b="0" i="1">
                      <a:latin typeface="Cambria Math" panose="02040503050406030204" pitchFamily="18" charset="0"/>
                    </a:rPr>
                    <m:t>(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latin typeface="Cambria Math" panose="02040503050406030204" pitchFamily="18" charset="0"/>
                        </a:rPr>
                        <m:t>взл</m:t>
                      </m:r>
                    </m:sub>
                  </m:sSub>
                  <m:r>
                    <a:rPr lang="ru-RU" sz="1100" b="0" i="1">
                      <a:latin typeface="Cambria Math" panose="02040503050406030204" pitchFamily="18" charset="0"/>
                    </a:rPr>
                    <m:t>−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пн</m:t>
                      </m:r>
                    </m:sub>
                  </m:sSub>
                  <m:r>
                    <a:rPr lang="ru-RU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− 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топл</m:t>
                      </m:r>
                    </m:sub>
                  </m:sSub>
                </m:oMath>
              </a14:m>
              <a:r>
                <a:rPr lang="ru-RU">
                  <a:effectLst/>
                </a:rPr>
                <a:t>) </a:t>
              </a:r>
              <a:r>
                <a:rPr lang="en-US">
                  <a:effectLst/>
                </a:rPr>
                <a:t>/</a:t>
              </a:r>
              <a14:m>
                <m:oMath xmlns:m="http://schemas.openxmlformats.org/officeDocument/2006/math">
                  <m:r>
                    <a:rPr lang="ru-RU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взл</m:t>
                      </m:r>
                    </m:sub>
                  </m:sSub>
                </m:oMath>
              </a14:m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RU">
                <a:effectLst/>
              </a:endParaRPr>
            </a:p>
          </xdr:txBody>
        </xdr:sp>
      </mc:Choice>
      <mc:Fallback xmlns="">
        <xdr:sp macro="" textlink="">
          <xdr:nvSpPr>
            <xdr:cNvPr id="15" name="TextBox 14"/>
            <xdr:cNvSpPr txBox="1"/>
          </xdr:nvSpPr>
          <xdr:spPr>
            <a:xfrm>
              <a:off x="10763248" y="10668000"/>
              <a:ext cx="211455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𝑚_</a:t>
              </a:r>
              <a:r>
                <a:rPr lang="ru-RU" sz="1100" b="0" i="0">
                  <a:latin typeface="Cambria Math" panose="02040503050406030204" pitchFamily="18" charset="0"/>
                </a:rPr>
                <a:t>взл−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пн  −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топл</a:t>
              </a:r>
              <a:r>
                <a:rPr lang="ru-RU">
                  <a:effectLst/>
                </a:rPr>
                <a:t>) </a:t>
              </a:r>
              <a:r>
                <a:rPr lang="en-US">
                  <a:effectLst/>
                </a:rPr>
                <a:t>/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взл</a:t>
              </a:r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RU">
                <a:effectLst/>
              </a:endParaRPr>
            </a:p>
          </xdr:txBody>
        </xdr:sp>
      </mc:Fallback>
    </mc:AlternateContent>
    <xdr:clientData/>
  </xdr:oneCellAnchor>
  <xdr:oneCellAnchor>
    <xdr:from>
      <xdr:col>30</xdr:col>
      <xdr:colOff>47623</xdr:colOff>
      <xdr:row>85</xdr:row>
      <xdr:rowOff>0</xdr:rowOff>
    </xdr:from>
    <xdr:ext cx="211455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/>
            <xdr:cNvSpPr txBox="1"/>
          </xdr:nvSpPr>
          <xdr:spPr>
            <a:xfrm>
              <a:off x="22174198" y="10668000"/>
              <a:ext cx="211455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ru-RU" sz="1100" b="0" i="1">
                      <a:latin typeface="Cambria Math" panose="02040503050406030204" pitchFamily="18" charset="0"/>
                    </a:rPr>
                    <m:t>(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latin typeface="Cambria Math" panose="02040503050406030204" pitchFamily="18" charset="0"/>
                        </a:rPr>
                        <m:t>взл</m:t>
                      </m:r>
                    </m:sub>
                  </m:sSub>
                  <m:r>
                    <a:rPr lang="ru-RU" sz="1100" b="0" i="1">
                      <a:latin typeface="Cambria Math" panose="02040503050406030204" pitchFamily="18" charset="0"/>
                    </a:rPr>
                    <m:t>−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пн</m:t>
                      </m:r>
                    </m:sub>
                  </m:sSub>
                  <m:r>
                    <a:rPr lang="ru-RU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− 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топл</m:t>
                      </m:r>
                    </m:sub>
                  </m:sSub>
                </m:oMath>
              </a14:m>
              <a:r>
                <a:rPr lang="ru-RU">
                  <a:effectLst/>
                </a:rPr>
                <a:t>) </a:t>
              </a:r>
              <a:r>
                <a:rPr lang="en-US">
                  <a:effectLst/>
                </a:rPr>
                <a:t>/</a:t>
              </a:r>
              <a14:m>
                <m:oMath xmlns:m="http://schemas.openxmlformats.org/officeDocument/2006/math">
                  <m:r>
                    <a:rPr lang="ru-RU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взл</m:t>
                      </m:r>
                    </m:sub>
                  </m:sSub>
                </m:oMath>
              </a14:m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RU">
                <a:effectLst/>
              </a:endParaRPr>
            </a:p>
          </xdr:txBody>
        </xdr:sp>
      </mc:Choice>
      <mc:Fallback xmlns="">
        <xdr:sp macro="" textlink="">
          <xdr:nvSpPr>
            <xdr:cNvPr id="16" name="TextBox 15"/>
            <xdr:cNvSpPr txBox="1"/>
          </xdr:nvSpPr>
          <xdr:spPr>
            <a:xfrm>
              <a:off x="22174198" y="10668000"/>
              <a:ext cx="211455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𝑚_</a:t>
              </a:r>
              <a:r>
                <a:rPr lang="ru-RU" sz="1100" b="0" i="0">
                  <a:latin typeface="Cambria Math" panose="02040503050406030204" pitchFamily="18" charset="0"/>
                </a:rPr>
                <a:t>взл−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пн  −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топл</a:t>
              </a:r>
              <a:r>
                <a:rPr lang="ru-RU">
                  <a:effectLst/>
                </a:rPr>
                <a:t>) </a:t>
              </a:r>
              <a:r>
                <a:rPr lang="en-US">
                  <a:effectLst/>
                </a:rPr>
                <a:t>/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взл</a:t>
              </a:r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RU">
                <a:effectLst/>
              </a:endParaRPr>
            </a:p>
          </xdr:txBody>
        </xdr:sp>
      </mc:Fallback>
    </mc:AlternateContent>
    <xdr:clientData/>
  </xdr:oneCellAnchor>
  <xdr:oneCellAnchor>
    <xdr:from>
      <xdr:col>47</xdr:col>
      <xdr:colOff>47623</xdr:colOff>
      <xdr:row>85</xdr:row>
      <xdr:rowOff>0</xdr:rowOff>
    </xdr:from>
    <xdr:ext cx="2114551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/>
            <xdr:cNvSpPr txBox="1"/>
          </xdr:nvSpPr>
          <xdr:spPr>
            <a:xfrm>
              <a:off x="33566098" y="10668000"/>
              <a:ext cx="211455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ru-RU" sz="1100" b="0" i="1">
                      <a:latin typeface="Cambria Math" panose="02040503050406030204" pitchFamily="18" charset="0"/>
                    </a:rPr>
                    <m:t>(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latin typeface="Cambria Math" panose="02040503050406030204" pitchFamily="18" charset="0"/>
                        </a:rPr>
                        <m:t>взл</m:t>
                      </m:r>
                    </m:sub>
                  </m:sSub>
                  <m:r>
                    <a:rPr lang="ru-RU" sz="1100" b="0" i="1">
                      <a:latin typeface="Cambria Math" panose="02040503050406030204" pitchFamily="18" charset="0"/>
                    </a:rPr>
                    <m:t>−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пн</m:t>
                      </m:r>
                    </m:sub>
                  </m:sSub>
                  <m:r>
                    <a:rPr lang="ru-RU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− 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топл</m:t>
                      </m:r>
                    </m:sub>
                  </m:sSub>
                </m:oMath>
              </a14:m>
              <a:r>
                <a:rPr lang="ru-RU">
                  <a:effectLst/>
                </a:rPr>
                <a:t>) </a:t>
              </a:r>
              <a:r>
                <a:rPr lang="en-US">
                  <a:effectLst/>
                </a:rPr>
                <a:t>/</a:t>
              </a:r>
              <a14:m>
                <m:oMath xmlns:m="http://schemas.openxmlformats.org/officeDocument/2006/math">
                  <m:r>
                    <a:rPr lang="ru-RU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взл</m:t>
                      </m:r>
                    </m:sub>
                  </m:sSub>
                </m:oMath>
              </a14:m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RU">
                <a:effectLst/>
              </a:endParaRPr>
            </a:p>
          </xdr:txBody>
        </xdr:sp>
      </mc:Choice>
      <mc:Fallback xmlns="">
        <xdr:sp macro="" textlink="">
          <xdr:nvSpPr>
            <xdr:cNvPr id="17" name="TextBox 16"/>
            <xdr:cNvSpPr txBox="1"/>
          </xdr:nvSpPr>
          <xdr:spPr>
            <a:xfrm>
              <a:off x="33566098" y="10668000"/>
              <a:ext cx="2114551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𝑚_</a:t>
              </a:r>
              <a:r>
                <a:rPr lang="ru-RU" sz="1100" b="0" i="0">
                  <a:latin typeface="Cambria Math" panose="02040503050406030204" pitchFamily="18" charset="0"/>
                </a:rPr>
                <a:t>взл−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пн  −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топл</a:t>
              </a:r>
              <a:r>
                <a:rPr lang="ru-RU">
                  <a:effectLst/>
                </a:rPr>
                <a:t>) </a:t>
              </a:r>
              <a:r>
                <a:rPr lang="en-US">
                  <a:effectLst/>
                </a:rPr>
                <a:t>/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взл</a:t>
              </a:r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RU">
                <a:effectLst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G813"/>
  <sheetViews>
    <sheetView tabSelected="1" zoomScale="70" zoomScaleNormal="70" workbookViewId="0">
      <selection activeCell="O44" sqref="O44"/>
    </sheetView>
  </sheetViews>
  <sheetFormatPr defaultRowHeight="15" x14ac:dyDescent="0.25"/>
  <cols>
    <col min="1" max="1" width="9.140625" style="11"/>
    <col min="2" max="2" width="21.85546875" style="11" bestFit="1" customWidth="1"/>
    <col min="3" max="8" width="9.140625" style="11"/>
    <col min="9" max="9" width="21.140625" style="11" bestFit="1" customWidth="1"/>
    <col min="10" max="10" width="26.28515625" style="11" bestFit="1" customWidth="1"/>
    <col min="11" max="15" width="9.140625" style="11"/>
    <col min="16" max="16" width="35.85546875" style="11" bestFit="1" customWidth="1"/>
    <col min="17" max="17" width="10.5703125" style="11" bestFit="1" customWidth="1"/>
    <col min="18" max="18" width="9.140625" style="11"/>
    <col min="19" max="19" width="22.5703125" style="11" bestFit="1" customWidth="1"/>
    <col min="20" max="25" width="9.140625" style="11"/>
    <col min="26" max="26" width="11.140625" style="11" bestFit="1" customWidth="1"/>
    <col min="27" max="27" width="9.42578125" style="11" bestFit="1" customWidth="1"/>
    <col min="28" max="32" width="9.140625" style="11"/>
    <col min="33" max="33" width="36.28515625" style="11" bestFit="1" customWidth="1"/>
    <col min="34" max="34" width="8.42578125" style="11" bestFit="1" customWidth="1"/>
    <col min="35" max="35" width="9.140625" style="11"/>
    <col min="36" max="36" width="25.28515625" style="11" bestFit="1" customWidth="1"/>
    <col min="37" max="49" width="9.140625" style="11"/>
    <col min="50" max="50" width="36.28515625" style="11" bestFit="1" customWidth="1"/>
    <col min="51" max="16384" width="9.140625" style="11"/>
  </cols>
  <sheetData>
    <row r="1" spans="1:52" ht="24" thickBot="1" x14ac:dyDescent="0.3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16"/>
    </row>
    <row r="2" spans="1:52" x14ac:dyDescent="0.25">
      <c r="A2" s="40" t="s">
        <v>212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2"/>
      <c r="R2" s="40" t="s">
        <v>213</v>
      </c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2"/>
      <c r="AI2" s="40" t="s">
        <v>214</v>
      </c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16"/>
    </row>
    <row r="3" spans="1:52" ht="15.75" thickBot="1" x14ac:dyDescent="0.3">
      <c r="A3" s="43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5"/>
      <c r="R3" s="43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5"/>
      <c r="AI3" s="43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16"/>
    </row>
    <row r="4" spans="1:52" ht="15" customHeight="1" x14ac:dyDescent="0.25">
      <c r="A4" s="46" t="s">
        <v>3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16"/>
    </row>
    <row r="5" spans="1:52" ht="75" x14ac:dyDescent="0.25">
      <c r="A5" s="8" t="s">
        <v>2</v>
      </c>
      <c r="B5" s="9" t="s">
        <v>12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57</v>
      </c>
      <c r="L5" s="9" t="s">
        <v>110</v>
      </c>
      <c r="M5" s="9" t="s">
        <v>111</v>
      </c>
      <c r="N5" s="9" t="s">
        <v>112</v>
      </c>
      <c r="O5" s="9" t="s">
        <v>211</v>
      </c>
      <c r="P5" s="9" t="s">
        <v>145</v>
      </c>
      <c r="Q5" s="14" t="s">
        <v>210</v>
      </c>
      <c r="R5" s="15" t="s">
        <v>2</v>
      </c>
      <c r="S5" s="9" t="s">
        <v>12</v>
      </c>
      <c r="T5" s="9" t="s">
        <v>4</v>
      </c>
      <c r="U5" s="9" t="s">
        <v>5</v>
      </c>
      <c r="V5" s="9" t="s">
        <v>6</v>
      </c>
      <c r="W5" s="9" t="s">
        <v>7</v>
      </c>
      <c r="X5" s="9" t="s">
        <v>8</v>
      </c>
      <c r="Y5" s="9" t="s">
        <v>9</v>
      </c>
      <c r="Z5" s="9" t="s">
        <v>10</v>
      </c>
      <c r="AA5" s="9" t="s">
        <v>11</v>
      </c>
      <c r="AB5" s="9" t="s">
        <v>57</v>
      </c>
      <c r="AC5" s="9" t="s">
        <v>110</v>
      </c>
      <c r="AD5" s="9" t="s">
        <v>111</v>
      </c>
      <c r="AE5" s="9" t="s">
        <v>112</v>
      </c>
      <c r="AF5" s="9" t="s">
        <v>211</v>
      </c>
      <c r="AG5" s="9" t="s">
        <v>145</v>
      </c>
      <c r="AH5" s="14" t="s">
        <v>210</v>
      </c>
      <c r="AI5" s="15" t="s">
        <v>2</v>
      </c>
      <c r="AJ5" s="9" t="s">
        <v>12</v>
      </c>
      <c r="AK5" s="9" t="s">
        <v>4</v>
      </c>
      <c r="AL5" s="9" t="s">
        <v>5</v>
      </c>
      <c r="AM5" s="9" t="s">
        <v>6</v>
      </c>
      <c r="AN5" s="9" t="s">
        <v>7</v>
      </c>
      <c r="AO5" s="9" t="s">
        <v>8</v>
      </c>
      <c r="AP5" s="9" t="s">
        <v>9</v>
      </c>
      <c r="AQ5" s="9" t="s">
        <v>10</v>
      </c>
      <c r="AR5" s="9" t="s">
        <v>11</v>
      </c>
      <c r="AS5" s="9" t="s">
        <v>57</v>
      </c>
      <c r="AT5" s="9" t="s">
        <v>110</v>
      </c>
      <c r="AU5" s="9" t="s">
        <v>111</v>
      </c>
      <c r="AV5" s="9" t="s">
        <v>112</v>
      </c>
      <c r="AW5" s="9" t="s">
        <v>211</v>
      </c>
      <c r="AX5" s="9" t="s">
        <v>145</v>
      </c>
      <c r="AY5" s="14" t="s">
        <v>210</v>
      </c>
      <c r="AZ5" s="16"/>
    </row>
    <row r="6" spans="1:52" ht="30" x14ac:dyDescent="0.25">
      <c r="A6" s="12">
        <v>1</v>
      </c>
      <c r="B6" s="30" t="s">
        <v>16</v>
      </c>
      <c r="C6" s="2">
        <v>1.3</v>
      </c>
      <c r="D6" s="2">
        <v>1.02</v>
      </c>
      <c r="E6" s="2">
        <v>5</v>
      </c>
      <c r="F6" s="2">
        <v>0.83</v>
      </c>
      <c r="G6" s="2">
        <v>83</v>
      </c>
      <c r="H6" s="2">
        <v>150</v>
      </c>
      <c r="I6" s="2" t="s">
        <v>81</v>
      </c>
      <c r="J6" s="3" t="s">
        <v>99</v>
      </c>
      <c r="K6" s="2">
        <v>1800</v>
      </c>
      <c r="L6" s="4">
        <v>0.21153846153846154</v>
      </c>
      <c r="M6" s="4">
        <v>0.78846153846153832</v>
      </c>
      <c r="N6" s="2" t="s">
        <v>117</v>
      </c>
      <c r="O6" s="2">
        <v>0.27500000000000002</v>
      </c>
      <c r="P6" s="2">
        <v>0</v>
      </c>
      <c r="Q6" s="31">
        <v>1.06</v>
      </c>
      <c r="R6" s="17">
        <v>1</v>
      </c>
      <c r="S6" s="6" t="s">
        <v>203</v>
      </c>
      <c r="T6" s="6">
        <v>65</v>
      </c>
      <c r="U6" s="6">
        <v>4.4000000000000004</v>
      </c>
      <c r="V6" s="6">
        <v>60</v>
      </c>
      <c r="W6" s="6">
        <v>6</v>
      </c>
      <c r="X6" s="6">
        <v>130</v>
      </c>
      <c r="Y6" s="6">
        <v>4600</v>
      </c>
      <c r="Z6" s="6" t="s">
        <v>76</v>
      </c>
      <c r="AA6" s="6" t="s">
        <v>93</v>
      </c>
      <c r="AB6" s="2">
        <v>2007</v>
      </c>
      <c r="AC6" s="4">
        <f>AF6/T6</f>
        <v>0.15384615384615385</v>
      </c>
      <c r="AD6" s="4">
        <f>(T6-AF6-AG6)/T6</f>
        <v>0.84615384615384615</v>
      </c>
      <c r="AE6" s="6" t="s">
        <v>150</v>
      </c>
      <c r="AF6" s="6">
        <v>10</v>
      </c>
      <c r="AG6" s="2">
        <v>0</v>
      </c>
      <c r="AH6" s="13">
        <f>IFERROR(ROUND((AF6*V6)/T6,2)," ")</f>
        <v>9.23</v>
      </c>
      <c r="AI6" s="19"/>
      <c r="AZ6" s="16"/>
    </row>
    <row r="7" spans="1:52" x14ac:dyDescent="0.25">
      <c r="A7" s="12">
        <f>A6+1</f>
        <v>2</v>
      </c>
      <c r="B7" s="12" t="s">
        <v>19</v>
      </c>
      <c r="C7" s="2">
        <v>2</v>
      </c>
      <c r="D7" s="2">
        <v>1.8</v>
      </c>
      <c r="E7" s="2">
        <v>20</v>
      </c>
      <c r="F7" s="2">
        <v>2</v>
      </c>
      <c r="G7" s="2">
        <v>60</v>
      </c>
      <c r="H7" s="2">
        <v>1</v>
      </c>
      <c r="I7" s="2" t="s">
        <v>81</v>
      </c>
      <c r="J7" s="2" t="s">
        <v>84</v>
      </c>
      <c r="K7" s="2">
        <v>1800</v>
      </c>
      <c r="L7" s="2">
        <v>0.1</v>
      </c>
      <c r="M7" s="2">
        <v>0.9</v>
      </c>
      <c r="N7" s="2"/>
      <c r="O7" s="2">
        <v>0.2</v>
      </c>
      <c r="P7" s="2">
        <v>0</v>
      </c>
      <c r="Q7" s="12">
        <v>2</v>
      </c>
      <c r="R7" s="16"/>
      <c r="AI7" s="16"/>
      <c r="AZ7" s="16"/>
    </row>
    <row r="8" spans="1:52" x14ac:dyDescent="0.25">
      <c r="A8" s="30">
        <f t="shared" ref="A8:A28" si="0">A7+1</f>
        <v>3</v>
      </c>
      <c r="B8" s="12" t="s">
        <v>25</v>
      </c>
      <c r="C8" s="2">
        <v>5</v>
      </c>
      <c r="D8" s="2">
        <v>2.8</v>
      </c>
      <c r="E8" s="2">
        <v>55</v>
      </c>
      <c r="F8" s="2">
        <v>0.92</v>
      </c>
      <c r="G8" s="2">
        <v>50</v>
      </c>
      <c r="H8" s="2">
        <v>3000</v>
      </c>
      <c r="I8" s="2" t="s">
        <v>81</v>
      </c>
      <c r="J8" s="2" t="s">
        <v>84</v>
      </c>
      <c r="K8" s="2">
        <v>1800</v>
      </c>
      <c r="L8" s="2">
        <f>O8/C8</f>
        <v>0.1</v>
      </c>
      <c r="M8" s="2">
        <f>(C8-O8-P8)/C8</f>
        <v>0.9</v>
      </c>
      <c r="N8" s="2">
        <v>1</v>
      </c>
      <c r="O8" s="2">
        <v>0.5</v>
      </c>
      <c r="P8" s="2">
        <v>0</v>
      </c>
      <c r="Q8" s="12">
        <f t="shared" ref="Q8:Q13" si="1">IFERROR(ROUND((O8*E8)/C8,2)," ")</f>
        <v>5.5</v>
      </c>
      <c r="R8" s="16"/>
      <c r="AI8" s="16"/>
      <c r="AZ8" s="16"/>
    </row>
    <row r="9" spans="1:52" x14ac:dyDescent="0.25">
      <c r="A9" s="30">
        <f t="shared" si="0"/>
        <v>4</v>
      </c>
      <c r="B9" s="12" t="s">
        <v>28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1800</v>
      </c>
      <c r="L9" s="2">
        <v>1</v>
      </c>
      <c r="M9" s="2">
        <v>1</v>
      </c>
      <c r="N9" s="2">
        <v>1</v>
      </c>
      <c r="O9" s="2">
        <v>1</v>
      </c>
      <c r="P9" s="2">
        <v>0</v>
      </c>
      <c r="Q9" s="12">
        <f t="shared" si="1"/>
        <v>1</v>
      </c>
      <c r="R9" s="16"/>
      <c r="AI9" s="16"/>
      <c r="AZ9" s="16"/>
    </row>
    <row r="10" spans="1:52" ht="17.25" customHeight="1" x14ac:dyDescent="0.25">
      <c r="A10" s="30">
        <f t="shared" si="0"/>
        <v>5</v>
      </c>
      <c r="B10" s="12" t="s">
        <v>33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1800</v>
      </c>
      <c r="L10" s="2">
        <v>1</v>
      </c>
      <c r="M10" s="2">
        <v>1</v>
      </c>
      <c r="N10" s="2">
        <v>1</v>
      </c>
      <c r="O10" s="2">
        <v>1</v>
      </c>
      <c r="P10" s="2">
        <v>0</v>
      </c>
      <c r="Q10" s="12">
        <f t="shared" si="1"/>
        <v>1</v>
      </c>
      <c r="R10" s="16"/>
      <c r="AI10" s="16"/>
      <c r="AZ10" s="16"/>
    </row>
    <row r="11" spans="1:52" x14ac:dyDescent="0.25">
      <c r="A11" s="30">
        <f t="shared" si="0"/>
        <v>6</v>
      </c>
      <c r="B11" s="12" t="s">
        <v>20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1800</v>
      </c>
      <c r="L11" s="2">
        <v>1</v>
      </c>
      <c r="M11" s="2">
        <v>1</v>
      </c>
      <c r="N11" s="2">
        <v>1</v>
      </c>
      <c r="O11" s="2">
        <v>1</v>
      </c>
      <c r="P11" s="2">
        <v>0</v>
      </c>
      <c r="Q11" s="12">
        <f t="shared" si="1"/>
        <v>1</v>
      </c>
      <c r="R11" s="16"/>
      <c r="AI11" s="16"/>
      <c r="AZ11" s="16"/>
    </row>
    <row r="12" spans="1:52" x14ac:dyDescent="0.25">
      <c r="A12" s="30">
        <f t="shared" si="0"/>
        <v>7</v>
      </c>
      <c r="B12" s="1" t="s">
        <v>27</v>
      </c>
      <c r="C12" s="2">
        <v>3.6</v>
      </c>
      <c r="D12" s="2">
        <v>1</v>
      </c>
      <c r="E12" s="2">
        <v>3.2</v>
      </c>
      <c r="F12" s="2">
        <v>0.57999999999999996</v>
      </c>
      <c r="G12" s="2">
        <v>44</v>
      </c>
      <c r="H12" s="2">
        <v>910</v>
      </c>
      <c r="I12" s="2" t="s">
        <v>85</v>
      </c>
      <c r="J12" s="2" t="s">
        <v>86</v>
      </c>
      <c r="K12" s="2">
        <v>1800</v>
      </c>
      <c r="L12" s="4">
        <f>O12/C12</f>
        <v>0.1388888888888889</v>
      </c>
      <c r="M12" s="4">
        <f>(C12-O12-P12)/C12</f>
        <v>0.86111111111111116</v>
      </c>
      <c r="N12" s="2">
        <v>1</v>
      </c>
      <c r="O12" s="2">
        <v>0.5</v>
      </c>
      <c r="P12" s="2">
        <v>0</v>
      </c>
      <c r="Q12" s="12">
        <f t="shared" si="1"/>
        <v>0.44</v>
      </c>
      <c r="R12" s="16"/>
      <c r="AI12" s="16"/>
      <c r="AZ12" s="16"/>
    </row>
    <row r="13" spans="1:52" x14ac:dyDescent="0.25">
      <c r="A13" s="30">
        <f t="shared" si="0"/>
        <v>8</v>
      </c>
      <c r="B13" s="6" t="s">
        <v>204</v>
      </c>
      <c r="C13" s="6">
        <v>5.5</v>
      </c>
      <c r="D13" s="6">
        <v>2.2000000000000002</v>
      </c>
      <c r="E13" s="6">
        <v>10</v>
      </c>
      <c r="F13" s="6">
        <v>1.5</v>
      </c>
      <c r="G13" s="6">
        <v>85</v>
      </c>
      <c r="H13" s="6">
        <v>3000</v>
      </c>
      <c r="I13" s="6" t="s">
        <v>205</v>
      </c>
      <c r="J13" s="6" t="s">
        <v>206</v>
      </c>
      <c r="K13" s="2">
        <v>2003</v>
      </c>
      <c r="L13" s="4">
        <f>O13/C13</f>
        <v>0.18181818181818182</v>
      </c>
      <c r="M13" s="4">
        <f>(C13-O13-P13)/C13</f>
        <v>0.81818181818181823</v>
      </c>
      <c r="N13" s="6" t="s">
        <v>150</v>
      </c>
      <c r="O13" s="6">
        <v>1</v>
      </c>
      <c r="P13" s="2">
        <v>0</v>
      </c>
      <c r="Q13" s="12">
        <f t="shared" si="1"/>
        <v>1.82</v>
      </c>
      <c r="R13" s="16"/>
      <c r="AI13" s="16"/>
      <c r="AZ13" s="16"/>
    </row>
    <row r="14" spans="1:52" x14ac:dyDescent="0.25">
      <c r="A14" s="30">
        <f t="shared" si="0"/>
        <v>9</v>
      </c>
      <c r="B14" s="1" t="s">
        <v>98</v>
      </c>
      <c r="C14" s="30">
        <v>1.9</v>
      </c>
      <c r="D14" s="30">
        <v>1.37</v>
      </c>
      <c r="E14" s="30">
        <v>10</v>
      </c>
      <c r="F14" s="30">
        <v>1</v>
      </c>
      <c r="G14" s="30">
        <v>95</v>
      </c>
      <c r="H14" s="30">
        <v>4600</v>
      </c>
      <c r="I14" s="30" t="s">
        <v>58</v>
      </c>
      <c r="J14" s="30" t="s">
        <v>59</v>
      </c>
      <c r="K14" s="30">
        <v>2004</v>
      </c>
      <c r="L14" s="5">
        <v>0.20526315789473687</v>
      </c>
      <c r="M14" s="4">
        <v>0.79473684210526307</v>
      </c>
      <c r="N14" s="30" t="s">
        <v>113</v>
      </c>
      <c r="O14" s="30">
        <v>0.39</v>
      </c>
      <c r="P14" s="30">
        <v>0</v>
      </c>
      <c r="Q14" s="30">
        <v>2.0499999999999998</v>
      </c>
      <c r="R14" s="16"/>
      <c r="AI14" s="16"/>
      <c r="AZ14" s="16"/>
    </row>
    <row r="15" spans="1:52" x14ac:dyDescent="0.25">
      <c r="A15" s="30">
        <f t="shared" si="0"/>
        <v>10</v>
      </c>
      <c r="B15" s="12" t="s">
        <v>14</v>
      </c>
      <c r="C15" s="2">
        <v>3.2</v>
      </c>
      <c r="D15" s="2">
        <v>1.5</v>
      </c>
      <c r="E15" s="2">
        <v>15</v>
      </c>
      <c r="F15" s="2">
        <v>1</v>
      </c>
      <c r="G15" s="2">
        <v>85</v>
      </c>
      <c r="H15" s="2">
        <v>3000</v>
      </c>
      <c r="I15" s="2" t="s">
        <v>61</v>
      </c>
      <c r="J15" s="2" t="s">
        <v>60</v>
      </c>
      <c r="K15" s="2">
        <v>2005</v>
      </c>
      <c r="L15" s="4">
        <v>9.3749999999999986E-2</v>
      </c>
      <c r="M15" s="4">
        <v>0.90625000000000011</v>
      </c>
      <c r="N15" s="2" t="s">
        <v>115</v>
      </c>
      <c r="O15" s="2">
        <v>0.3</v>
      </c>
      <c r="P15" s="2">
        <v>0</v>
      </c>
      <c r="Q15" s="12">
        <v>1.41</v>
      </c>
      <c r="R15" s="16"/>
      <c r="AI15" s="16"/>
      <c r="AZ15" s="16"/>
    </row>
    <row r="16" spans="1:52" x14ac:dyDescent="0.25">
      <c r="A16" s="30">
        <f t="shared" si="0"/>
        <v>11</v>
      </c>
      <c r="B16" s="12" t="s">
        <v>26</v>
      </c>
      <c r="C16" s="2">
        <v>5.8</v>
      </c>
      <c r="D16" s="2">
        <v>2</v>
      </c>
      <c r="E16" s="2">
        <v>15</v>
      </c>
      <c r="F16" s="2">
        <v>1</v>
      </c>
      <c r="G16" s="2">
        <v>70</v>
      </c>
      <c r="H16" s="2">
        <v>3000</v>
      </c>
      <c r="I16" s="2" t="s">
        <v>81</v>
      </c>
      <c r="J16" s="2" t="s">
        <v>60</v>
      </c>
      <c r="K16" s="2">
        <v>2007</v>
      </c>
      <c r="L16" s="4">
        <f>O16/C16</f>
        <v>0.17241379310344829</v>
      </c>
      <c r="M16" s="4">
        <f>(C16-O16-P16)/C16</f>
        <v>0.82758620689655171</v>
      </c>
      <c r="N16" s="2" t="s">
        <v>123</v>
      </c>
      <c r="O16" s="2">
        <v>1</v>
      </c>
      <c r="P16" s="2">
        <v>0</v>
      </c>
      <c r="Q16" s="12">
        <f>IFERROR(ROUND((O16*E16)/C16,2)," ")</f>
        <v>2.59</v>
      </c>
      <c r="R16" s="16"/>
      <c r="AI16" s="16"/>
      <c r="AZ16" s="16"/>
    </row>
    <row r="17" spans="1:52" x14ac:dyDescent="0.25">
      <c r="A17" s="30">
        <f t="shared" si="0"/>
        <v>12</v>
      </c>
      <c r="B17" s="12" t="s">
        <v>13</v>
      </c>
      <c r="C17" s="30">
        <v>5.9</v>
      </c>
      <c r="D17" s="30">
        <v>2.8</v>
      </c>
      <c r="E17" s="30">
        <v>20</v>
      </c>
      <c r="F17" s="30">
        <v>2.5</v>
      </c>
      <c r="G17" s="30">
        <v>83</v>
      </c>
      <c r="H17" s="30">
        <v>1500</v>
      </c>
      <c r="I17" s="30" t="s">
        <v>58</v>
      </c>
      <c r="J17" s="30" t="s">
        <v>60</v>
      </c>
      <c r="K17" s="30">
        <v>2008</v>
      </c>
      <c r="L17" s="5">
        <v>0.30508474576271183</v>
      </c>
      <c r="M17" s="4">
        <v>0.69491525423728817</v>
      </c>
      <c r="N17" s="30" t="s">
        <v>114</v>
      </c>
      <c r="O17" s="30">
        <v>1.8</v>
      </c>
      <c r="P17" s="30">
        <v>0</v>
      </c>
      <c r="Q17" s="12">
        <v>6.1</v>
      </c>
      <c r="R17" s="16"/>
      <c r="AI17" s="16"/>
      <c r="AZ17" s="16"/>
    </row>
    <row r="18" spans="1:52" x14ac:dyDescent="0.25">
      <c r="A18" s="30">
        <f t="shared" si="0"/>
        <v>13</v>
      </c>
      <c r="B18" s="12" t="s">
        <v>21</v>
      </c>
      <c r="C18" s="2">
        <v>10.5</v>
      </c>
      <c r="D18" s="2">
        <v>2.8149999999999999</v>
      </c>
      <c r="E18" s="2">
        <v>112</v>
      </c>
      <c r="F18" s="2">
        <v>4</v>
      </c>
      <c r="G18" s="2">
        <v>88</v>
      </c>
      <c r="H18" s="2">
        <v>3600</v>
      </c>
      <c r="I18" s="2" t="s">
        <v>76</v>
      </c>
      <c r="J18" s="2" t="s">
        <v>77</v>
      </c>
      <c r="K18" s="2">
        <v>2010</v>
      </c>
      <c r="L18" s="4">
        <v>0.14285714285714285</v>
      </c>
      <c r="M18" s="4">
        <v>0.8571428571428571</v>
      </c>
      <c r="N18" s="2" t="s">
        <v>120</v>
      </c>
      <c r="O18" s="2">
        <v>1.5</v>
      </c>
      <c r="P18" s="2">
        <v>0</v>
      </c>
      <c r="Q18" s="12">
        <v>16</v>
      </c>
      <c r="R18" s="16"/>
      <c r="AI18" s="16"/>
      <c r="AZ18" s="16"/>
    </row>
    <row r="19" spans="1:52" x14ac:dyDescent="0.25">
      <c r="A19" s="30">
        <f t="shared" si="0"/>
        <v>14</v>
      </c>
      <c r="B19" s="12" t="s">
        <v>24</v>
      </c>
      <c r="C19" s="2">
        <v>2.7</v>
      </c>
      <c r="D19" s="2">
        <v>2.12</v>
      </c>
      <c r="E19" s="2">
        <v>1</v>
      </c>
      <c r="F19" s="2">
        <v>0.42</v>
      </c>
      <c r="G19" s="2">
        <v>67</v>
      </c>
      <c r="H19" s="2">
        <v>200</v>
      </c>
      <c r="I19" s="2" t="s">
        <v>82</v>
      </c>
      <c r="J19" s="2" t="s">
        <v>83</v>
      </c>
      <c r="K19" s="2">
        <v>2010</v>
      </c>
      <c r="L19" s="4">
        <f>O19/C19</f>
        <v>0.1111111111111111</v>
      </c>
      <c r="M19" s="4">
        <f>(C19-O19-P19)/C19</f>
        <v>0.88888888888888895</v>
      </c>
      <c r="N19" s="2"/>
      <c r="O19" s="2">
        <v>0.3</v>
      </c>
      <c r="P19" s="2">
        <v>0</v>
      </c>
      <c r="Q19" s="12">
        <f>IFERROR(ROUND((O19*E19)/C19,2)," ")</f>
        <v>0.11</v>
      </c>
      <c r="R19" s="16"/>
      <c r="AI19" s="16"/>
      <c r="AZ19" s="16"/>
    </row>
    <row r="20" spans="1:52" x14ac:dyDescent="0.25">
      <c r="A20" s="30">
        <f t="shared" si="0"/>
        <v>15</v>
      </c>
      <c r="B20" s="12" t="s">
        <v>32</v>
      </c>
      <c r="C20" s="2">
        <v>13.5</v>
      </c>
      <c r="D20" s="2">
        <v>2.206</v>
      </c>
      <c r="E20" s="2">
        <v>30</v>
      </c>
      <c r="F20" s="2">
        <v>2</v>
      </c>
      <c r="G20" s="2">
        <v>135</v>
      </c>
      <c r="H20" s="2">
        <v>5000</v>
      </c>
      <c r="I20" s="2" t="s">
        <v>76</v>
      </c>
      <c r="J20" s="2" t="s">
        <v>93</v>
      </c>
      <c r="K20" s="2">
        <v>2011</v>
      </c>
      <c r="L20" s="4">
        <v>0.14814814814814814</v>
      </c>
      <c r="M20" s="4">
        <v>0.85185185185185186</v>
      </c>
      <c r="N20" s="2"/>
      <c r="O20" s="2">
        <v>2</v>
      </c>
      <c r="P20" s="2">
        <v>0</v>
      </c>
      <c r="Q20" s="12">
        <v>4.4400000000000004</v>
      </c>
      <c r="R20" s="16"/>
      <c r="AI20" s="16"/>
      <c r="AZ20" s="16"/>
    </row>
    <row r="21" spans="1:52" x14ac:dyDescent="0.25">
      <c r="A21" s="30">
        <f t="shared" si="0"/>
        <v>16</v>
      </c>
      <c r="B21" s="1" t="s">
        <v>18</v>
      </c>
      <c r="C21" s="3">
        <v>18</v>
      </c>
      <c r="D21" s="3">
        <v>3.3</v>
      </c>
      <c r="E21" s="3">
        <v>30</v>
      </c>
      <c r="F21" s="3">
        <v>2.83</v>
      </c>
      <c r="G21" s="3">
        <v>60</v>
      </c>
      <c r="H21" s="3">
        <v>3000</v>
      </c>
      <c r="I21" s="3" t="s">
        <v>76</v>
      </c>
      <c r="J21" s="3" t="s">
        <v>100</v>
      </c>
      <c r="K21" s="3">
        <v>2012</v>
      </c>
      <c r="L21" s="4">
        <v>0.16666666666666666</v>
      </c>
      <c r="M21" s="4">
        <v>0.83333333333333337</v>
      </c>
      <c r="N21" s="2" t="s">
        <v>119</v>
      </c>
      <c r="O21" s="2">
        <v>3</v>
      </c>
      <c r="P21" s="2">
        <v>0</v>
      </c>
      <c r="Q21" s="12">
        <v>5</v>
      </c>
      <c r="R21" s="16"/>
      <c r="AI21" s="16"/>
      <c r="AZ21" s="16"/>
    </row>
    <row r="22" spans="1:52" x14ac:dyDescent="0.25">
      <c r="A22" s="30">
        <f t="shared" si="0"/>
        <v>17</v>
      </c>
      <c r="B22" s="12" t="s">
        <v>15</v>
      </c>
      <c r="C22" s="2">
        <v>0.7</v>
      </c>
      <c r="D22" s="2">
        <v>1.1000000000000001</v>
      </c>
      <c r="E22" s="2">
        <v>15</v>
      </c>
      <c r="F22" s="2">
        <v>0.5</v>
      </c>
      <c r="G22" s="2">
        <v>65</v>
      </c>
      <c r="H22" s="2">
        <v>3000</v>
      </c>
      <c r="I22" s="2" t="s">
        <v>61</v>
      </c>
      <c r="J22" s="2" t="s">
        <v>60</v>
      </c>
      <c r="K22" s="2">
        <v>2013</v>
      </c>
      <c r="L22" s="4">
        <v>0.14285714285714288</v>
      </c>
      <c r="M22" s="4">
        <v>0.85714285714285721</v>
      </c>
      <c r="N22" s="2" t="s">
        <v>116</v>
      </c>
      <c r="O22" s="2">
        <v>0.1</v>
      </c>
      <c r="P22" s="2">
        <v>0</v>
      </c>
      <c r="Q22" s="12">
        <v>2.14</v>
      </c>
      <c r="R22" s="16"/>
      <c r="AI22" s="16"/>
      <c r="AZ22" s="16"/>
    </row>
    <row r="23" spans="1:52" ht="30" x14ac:dyDescent="0.25">
      <c r="A23" s="30">
        <f t="shared" si="0"/>
        <v>18</v>
      </c>
      <c r="B23" s="30" t="s">
        <v>23</v>
      </c>
      <c r="C23" s="2">
        <v>32</v>
      </c>
      <c r="D23" s="2">
        <v>4.3</v>
      </c>
      <c r="E23" s="2">
        <v>50</v>
      </c>
      <c r="F23" s="2">
        <v>6</v>
      </c>
      <c r="G23" s="2">
        <v>130</v>
      </c>
      <c r="H23" s="2">
        <v>5486</v>
      </c>
      <c r="I23" s="2" t="s">
        <v>76</v>
      </c>
      <c r="J23" s="3" t="s">
        <v>80</v>
      </c>
      <c r="K23" s="2">
        <v>2014</v>
      </c>
      <c r="L23" s="4">
        <f>O23/C23</f>
        <v>0.171875</v>
      </c>
      <c r="M23" s="4">
        <f>(C23-O23-P23)/C23</f>
        <v>0.828125</v>
      </c>
      <c r="N23" s="2" t="s">
        <v>122</v>
      </c>
      <c r="O23" s="2">
        <v>5.5</v>
      </c>
      <c r="P23" s="2">
        <v>0</v>
      </c>
      <c r="Q23" s="12">
        <f>IFERROR(ROUND((O23*E23)/C23,2)," ")</f>
        <v>8.59</v>
      </c>
      <c r="R23" s="16"/>
      <c r="AI23" s="16"/>
      <c r="AZ23" s="16"/>
    </row>
    <row r="24" spans="1:52" x14ac:dyDescent="0.25">
      <c r="A24" s="30">
        <f t="shared" si="0"/>
        <v>19</v>
      </c>
      <c r="B24" s="10" t="s">
        <v>148</v>
      </c>
      <c r="C24" s="32">
        <v>14</v>
      </c>
      <c r="D24" s="6">
        <v>3.6</v>
      </c>
      <c r="E24" s="6">
        <v>30</v>
      </c>
      <c r="F24" s="6">
        <v>2</v>
      </c>
      <c r="G24" s="6">
        <v>100</v>
      </c>
      <c r="H24" s="6">
        <v>3000</v>
      </c>
      <c r="I24" s="6" t="s">
        <v>76</v>
      </c>
      <c r="J24" s="6" t="s">
        <v>93</v>
      </c>
      <c r="K24" s="2">
        <v>2014</v>
      </c>
      <c r="L24" s="4">
        <f>O24/C24</f>
        <v>0.17857142857142858</v>
      </c>
      <c r="M24" s="4">
        <f>(C24-O24-P24)/C24</f>
        <v>0.8214285714285714</v>
      </c>
      <c r="N24" s="6" t="s">
        <v>150</v>
      </c>
      <c r="O24" s="6">
        <v>2.5</v>
      </c>
      <c r="P24" s="30">
        <v>0</v>
      </c>
      <c r="Q24" s="12">
        <f>IFERROR(ROUND((O24*E24)/C24,2)," ")</f>
        <v>5.36</v>
      </c>
      <c r="R24" s="16"/>
      <c r="AI24" s="16"/>
      <c r="AZ24" s="16"/>
    </row>
    <row r="25" spans="1:52" x14ac:dyDescent="0.25">
      <c r="A25" s="30">
        <f t="shared" si="0"/>
        <v>20</v>
      </c>
      <c r="B25" s="10" t="s">
        <v>147</v>
      </c>
      <c r="C25" s="6">
        <v>5.5</v>
      </c>
      <c r="D25" s="6">
        <v>2.2999999999999998</v>
      </c>
      <c r="E25" s="6">
        <v>40</v>
      </c>
      <c r="F25" s="6">
        <v>3</v>
      </c>
      <c r="G25" s="6">
        <v>100</v>
      </c>
      <c r="H25" s="6">
        <v>3000</v>
      </c>
      <c r="I25" s="6" t="s">
        <v>76</v>
      </c>
      <c r="J25" s="6" t="s">
        <v>93</v>
      </c>
      <c r="K25" s="2">
        <v>2015</v>
      </c>
      <c r="L25" s="4">
        <f>O25/C25</f>
        <v>0.27272727272727271</v>
      </c>
      <c r="M25" s="4">
        <f>(C25-O25-P25)/C25</f>
        <v>0.72727272727272729</v>
      </c>
      <c r="N25" s="6" t="s">
        <v>150</v>
      </c>
      <c r="O25" s="6">
        <v>1.5</v>
      </c>
      <c r="P25" s="2">
        <v>0</v>
      </c>
      <c r="Q25" s="12">
        <f>IFERROR(ROUND((O25*E25)/C25,2)," ")</f>
        <v>10.91</v>
      </c>
      <c r="R25" s="16"/>
      <c r="AI25" s="16"/>
      <c r="AZ25" s="16"/>
    </row>
    <row r="26" spans="1:52" x14ac:dyDescent="0.25">
      <c r="A26" s="30">
        <f t="shared" si="0"/>
        <v>21</v>
      </c>
      <c r="B26" s="30" t="s">
        <v>17</v>
      </c>
      <c r="C26" s="2">
        <v>0.94</v>
      </c>
      <c r="D26" s="2">
        <v>1.1499999999999999</v>
      </c>
      <c r="E26" s="2">
        <v>2</v>
      </c>
      <c r="F26" s="2">
        <v>0.75</v>
      </c>
      <c r="G26" s="2">
        <v>80</v>
      </c>
      <c r="H26" s="2">
        <v>2000</v>
      </c>
      <c r="I26" s="2" t="s">
        <v>81</v>
      </c>
      <c r="J26" s="2" t="s">
        <v>75</v>
      </c>
      <c r="K26" s="2">
        <v>2016</v>
      </c>
      <c r="L26" s="4">
        <v>0.17021276595744683</v>
      </c>
      <c r="M26" s="4">
        <v>0.82978723404255317</v>
      </c>
      <c r="N26" s="2" t="s">
        <v>118</v>
      </c>
      <c r="O26" s="2">
        <v>0.16</v>
      </c>
      <c r="P26" s="2">
        <v>0</v>
      </c>
      <c r="Q26" s="12">
        <v>0.34</v>
      </c>
      <c r="R26" s="16"/>
      <c r="AI26" s="16"/>
      <c r="AZ26" s="16"/>
    </row>
    <row r="27" spans="1:52" x14ac:dyDescent="0.25">
      <c r="A27" s="30">
        <f t="shared" si="0"/>
        <v>22</v>
      </c>
      <c r="B27" s="10" t="s">
        <v>149</v>
      </c>
      <c r="C27" s="10">
        <v>30</v>
      </c>
      <c r="D27" s="6">
        <v>4.4000000000000004</v>
      </c>
      <c r="E27" s="6">
        <v>100</v>
      </c>
      <c r="F27" s="6">
        <v>7</v>
      </c>
      <c r="G27" s="6">
        <v>120</v>
      </c>
      <c r="H27" s="6">
        <v>5500</v>
      </c>
      <c r="I27" s="6" t="s">
        <v>76</v>
      </c>
      <c r="J27" s="6" t="s">
        <v>93</v>
      </c>
      <c r="K27" s="2">
        <v>2016</v>
      </c>
      <c r="L27" s="4">
        <f>O27/C27</f>
        <v>0.16666666666666666</v>
      </c>
      <c r="M27" s="4">
        <f>(C27-O27-P27)/C27</f>
        <v>0.83333333333333337</v>
      </c>
      <c r="N27" s="6" t="s">
        <v>150</v>
      </c>
      <c r="O27" s="6">
        <v>5</v>
      </c>
      <c r="P27" s="12">
        <v>0</v>
      </c>
      <c r="Q27" s="12">
        <f>IFERROR(ROUND((O27*E27)/C27,2)," ")</f>
        <v>16.670000000000002</v>
      </c>
      <c r="R27" s="16"/>
      <c r="AI27" s="16"/>
      <c r="AZ27" s="16"/>
    </row>
    <row r="28" spans="1:52" x14ac:dyDescent="0.25">
      <c r="A28" s="30">
        <f t="shared" si="0"/>
        <v>23</v>
      </c>
      <c r="B28" s="32" t="s">
        <v>146</v>
      </c>
      <c r="C28" s="6">
        <v>25</v>
      </c>
      <c r="D28" s="6">
        <v>3.8</v>
      </c>
      <c r="E28" s="6">
        <v>50</v>
      </c>
      <c r="F28" s="6">
        <v>2.5</v>
      </c>
      <c r="G28" s="6">
        <v>90</v>
      </c>
      <c r="H28" s="6">
        <v>2500</v>
      </c>
      <c r="I28" s="6" t="s">
        <v>76</v>
      </c>
      <c r="J28" s="6" t="s">
        <v>93</v>
      </c>
      <c r="K28" s="2">
        <v>2017</v>
      </c>
      <c r="L28" s="4">
        <f>O28/C28</f>
        <v>0.12</v>
      </c>
      <c r="M28" s="4">
        <f>(C28-O28-P28)/C28</f>
        <v>0.88</v>
      </c>
      <c r="N28" s="6" t="s">
        <v>150</v>
      </c>
      <c r="O28" s="6">
        <v>3</v>
      </c>
      <c r="P28" s="2">
        <v>0</v>
      </c>
      <c r="Q28" s="12">
        <f>IFERROR(ROUND((O28*E28)/C28,2)," ")</f>
        <v>6</v>
      </c>
      <c r="R28" s="16"/>
      <c r="AI28" s="16"/>
      <c r="AZ28" s="16"/>
    </row>
    <row r="29" spans="1:52" ht="23.25" x14ac:dyDescent="0.25">
      <c r="A29" s="38" t="s">
        <v>1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16"/>
    </row>
    <row r="30" spans="1:52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16"/>
    </row>
    <row r="31" spans="1:52" x14ac:dyDescent="0.25">
      <c r="A31" s="35" t="s">
        <v>212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5" t="s">
        <v>213</v>
      </c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7"/>
      <c r="AI31" s="35" t="s">
        <v>214</v>
      </c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16"/>
    </row>
    <row r="32" spans="1:52" x14ac:dyDescent="0.25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7"/>
      <c r="R32" s="35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7"/>
      <c r="AI32" s="35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16"/>
    </row>
    <row r="33" spans="1:579" ht="75" x14ac:dyDescent="0.25">
      <c r="A33" s="8" t="s">
        <v>2</v>
      </c>
      <c r="B33" s="9" t="s">
        <v>12</v>
      </c>
      <c r="C33" s="9" t="s">
        <v>4</v>
      </c>
      <c r="D33" s="9" t="s">
        <v>5</v>
      </c>
      <c r="E33" s="9" t="s">
        <v>6</v>
      </c>
      <c r="F33" s="9" t="s">
        <v>7</v>
      </c>
      <c r="G33" s="9" t="s">
        <v>8</v>
      </c>
      <c r="H33" s="9" t="s">
        <v>9</v>
      </c>
      <c r="I33" s="9" t="s">
        <v>10</v>
      </c>
      <c r="J33" s="9" t="s">
        <v>11</v>
      </c>
      <c r="K33" s="9" t="s">
        <v>57</v>
      </c>
      <c r="L33" s="9" t="s">
        <v>110</v>
      </c>
      <c r="M33" s="9" t="s">
        <v>111</v>
      </c>
      <c r="N33" s="9" t="s">
        <v>112</v>
      </c>
      <c r="O33" s="9" t="s">
        <v>211</v>
      </c>
      <c r="P33" s="9" t="s">
        <v>145</v>
      </c>
      <c r="Q33" s="14" t="s">
        <v>210</v>
      </c>
      <c r="R33" s="15" t="s">
        <v>2</v>
      </c>
      <c r="S33" s="9" t="s">
        <v>12</v>
      </c>
      <c r="T33" s="9" t="s">
        <v>4</v>
      </c>
      <c r="U33" s="9" t="s">
        <v>5</v>
      </c>
      <c r="V33" s="9" t="s">
        <v>6</v>
      </c>
      <c r="W33" s="9" t="s">
        <v>7</v>
      </c>
      <c r="X33" s="9" t="s">
        <v>8</v>
      </c>
      <c r="Y33" s="9" t="s">
        <v>9</v>
      </c>
      <c r="Z33" s="9" t="s">
        <v>10</v>
      </c>
      <c r="AA33" s="9" t="s">
        <v>11</v>
      </c>
      <c r="AB33" s="9" t="s">
        <v>57</v>
      </c>
      <c r="AC33" s="9" t="s">
        <v>110</v>
      </c>
      <c r="AD33" s="9" t="s">
        <v>111</v>
      </c>
      <c r="AE33" s="9" t="s">
        <v>112</v>
      </c>
      <c r="AF33" s="9" t="s">
        <v>211</v>
      </c>
      <c r="AG33" s="9" t="s">
        <v>145</v>
      </c>
      <c r="AH33" s="14" t="s">
        <v>210</v>
      </c>
      <c r="AI33" s="15" t="s">
        <v>2</v>
      </c>
      <c r="AJ33" s="9" t="s">
        <v>12</v>
      </c>
      <c r="AK33" s="9" t="s">
        <v>4</v>
      </c>
      <c r="AL33" s="9" t="s">
        <v>5</v>
      </c>
      <c r="AM33" s="9" t="s">
        <v>6</v>
      </c>
      <c r="AN33" s="9" t="s">
        <v>7</v>
      </c>
      <c r="AO33" s="9" t="s">
        <v>8</v>
      </c>
      <c r="AP33" s="9" t="s">
        <v>9</v>
      </c>
      <c r="AQ33" s="9" t="s">
        <v>10</v>
      </c>
      <c r="AR33" s="9" t="s">
        <v>11</v>
      </c>
      <c r="AS33" s="9" t="s">
        <v>57</v>
      </c>
      <c r="AT33" s="9" t="s">
        <v>110</v>
      </c>
      <c r="AU33" s="9" t="s">
        <v>111</v>
      </c>
      <c r="AV33" s="9" t="s">
        <v>112</v>
      </c>
      <c r="AW33" s="9" t="s">
        <v>211</v>
      </c>
      <c r="AX33" s="9" t="s">
        <v>145</v>
      </c>
      <c r="AY33" s="14" t="s">
        <v>210</v>
      </c>
      <c r="AZ33" s="16"/>
    </row>
    <row r="34" spans="1:579" x14ac:dyDescent="0.25">
      <c r="A34" s="12">
        <v>1</v>
      </c>
      <c r="B34" s="1" t="s">
        <v>22</v>
      </c>
      <c r="C34" s="12">
        <v>37</v>
      </c>
      <c r="D34" s="12">
        <v>4.17</v>
      </c>
      <c r="E34" s="12">
        <v>65</v>
      </c>
      <c r="F34" s="12">
        <v>7</v>
      </c>
      <c r="G34" s="12">
        <v>113</v>
      </c>
      <c r="H34" s="12">
        <v>3500</v>
      </c>
      <c r="I34" s="12" t="s">
        <v>78</v>
      </c>
      <c r="J34" s="12" t="s">
        <v>79</v>
      </c>
      <c r="K34" s="12">
        <v>1996</v>
      </c>
      <c r="L34" s="5">
        <v>0.10810810810810811</v>
      </c>
      <c r="M34" s="4">
        <v>0.89189189189189189</v>
      </c>
      <c r="N34" s="30" t="s">
        <v>121</v>
      </c>
      <c r="O34" s="12">
        <v>4</v>
      </c>
      <c r="P34" s="12">
        <v>0</v>
      </c>
      <c r="Q34" s="13">
        <v>7.03</v>
      </c>
      <c r="R34" s="18">
        <v>1</v>
      </c>
      <c r="S34" s="32" t="s">
        <v>166</v>
      </c>
      <c r="T34" s="6">
        <v>61</v>
      </c>
      <c r="U34" s="6">
        <v>1.5</v>
      </c>
      <c r="V34" s="6">
        <v>60</v>
      </c>
      <c r="W34" s="6">
        <v>1</v>
      </c>
      <c r="X34" s="6">
        <v>740</v>
      </c>
      <c r="Y34" s="6">
        <v>3000</v>
      </c>
      <c r="Z34" s="6" t="s">
        <v>187</v>
      </c>
      <c r="AA34" s="6" t="s">
        <v>93</v>
      </c>
      <c r="AB34" s="6">
        <v>1800</v>
      </c>
      <c r="AC34" s="4">
        <v>0.26229508196721313</v>
      </c>
      <c r="AD34" s="4">
        <v>0.73770491803278693</v>
      </c>
      <c r="AE34" s="6" t="s">
        <v>150</v>
      </c>
      <c r="AF34" s="6">
        <v>16</v>
      </c>
      <c r="AG34" s="2"/>
      <c r="AH34" s="13">
        <v>15.74</v>
      </c>
      <c r="AI34" s="18">
        <v>1</v>
      </c>
      <c r="AJ34" s="12" t="s">
        <v>71</v>
      </c>
      <c r="AK34" s="2">
        <v>1100</v>
      </c>
      <c r="AL34" s="2">
        <v>1</v>
      </c>
      <c r="AM34" s="2">
        <v>1</v>
      </c>
      <c r="AN34" s="2">
        <v>1</v>
      </c>
      <c r="AO34" s="2">
        <v>1</v>
      </c>
      <c r="AP34" s="2">
        <v>1</v>
      </c>
      <c r="AQ34" s="2">
        <v>1</v>
      </c>
      <c r="AR34" s="2">
        <v>1</v>
      </c>
      <c r="AS34" s="2">
        <v>1800</v>
      </c>
      <c r="AT34" s="4">
        <v>0.27272727272727271</v>
      </c>
      <c r="AU34" s="4">
        <v>0.36363636363636365</v>
      </c>
      <c r="AV34" s="2" t="s">
        <v>129</v>
      </c>
      <c r="AW34" s="2">
        <v>300</v>
      </c>
      <c r="AX34" s="2">
        <v>400</v>
      </c>
      <c r="AY34" s="13">
        <v>0</v>
      </c>
      <c r="AZ34" s="16"/>
    </row>
    <row r="35" spans="1:579" x14ac:dyDescent="0.25">
      <c r="A35" s="12">
        <f>A34+1</f>
        <v>2</v>
      </c>
      <c r="B35" s="32" t="s">
        <v>154</v>
      </c>
      <c r="C35" s="32">
        <v>14</v>
      </c>
      <c r="D35" s="32">
        <v>2.9</v>
      </c>
      <c r="E35" s="32">
        <v>1</v>
      </c>
      <c r="F35" s="32">
        <v>40</v>
      </c>
      <c r="G35" s="32">
        <v>157</v>
      </c>
      <c r="H35" s="32">
        <v>6000</v>
      </c>
      <c r="I35" s="32" t="s">
        <v>178</v>
      </c>
      <c r="J35" s="32" t="s">
        <v>179</v>
      </c>
      <c r="K35" s="12">
        <v>2000</v>
      </c>
      <c r="L35" s="4">
        <v>7.1428571428571425E-2</v>
      </c>
      <c r="M35" s="4">
        <v>0.5714285714285714</v>
      </c>
      <c r="N35" s="32" t="s">
        <v>150</v>
      </c>
      <c r="O35" s="32">
        <v>1</v>
      </c>
      <c r="P35" s="12">
        <v>5</v>
      </c>
      <c r="Q35" s="13">
        <v>0</v>
      </c>
      <c r="R35" s="18">
        <f>R34+1</f>
        <v>2</v>
      </c>
      <c r="S35" s="32" t="s">
        <v>193</v>
      </c>
      <c r="T35" s="32">
        <v>75</v>
      </c>
      <c r="U35" s="32">
        <v>3.4</v>
      </c>
      <c r="V35" s="32">
        <v>900</v>
      </c>
      <c r="W35" s="32">
        <v>1.5</v>
      </c>
      <c r="X35" s="32">
        <v>740</v>
      </c>
      <c r="Y35" s="32">
        <v>7600</v>
      </c>
      <c r="Z35" s="32" t="s">
        <v>194</v>
      </c>
      <c r="AA35" s="32" t="s">
        <v>93</v>
      </c>
      <c r="AB35" s="32">
        <v>1800</v>
      </c>
      <c r="AC35" s="4">
        <v>0.26666666666666666</v>
      </c>
      <c r="AD35" s="4">
        <v>0.73333333333333328</v>
      </c>
      <c r="AE35" s="32" t="s">
        <v>150</v>
      </c>
      <c r="AF35" s="32">
        <v>20</v>
      </c>
      <c r="AG35" s="30"/>
      <c r="AH35" s="13">
        <v>240</v>
      </c>
      <c r="AI35" s="18">
        <f>AI34+1</f>
        <v>2</v>
      </c>
      <c r="AJ35" s="12" t="s">
        <v>73</v>
      </c>
      <c r="AK35" s="2">
        <v>4650</v>
      </c>
      <c r="AL35" s="2">
        <v>26</v>
      </c>
      <c r="AM35" s="2">
        <v>7400</v>
      </c>
      <c r="AN35" s="2">
        <v>70</v>
      </c>
      <c r="AO35" s="2">
        <v>389</v>
      </c>
      <c r="AP35" s="2">
        <v>14000</v>
      </c>
      <c r="AQ35" s="2" t="s">
        <v>68</v>
      </c>
      <c r="AR35" s="2" t="s">
        <v>69</v>
      </c>
      <c r="AS35" s="2">
        <v>1800</v>
      </c>
      <c r="AT35" s="4">
        <v>0.21505376344086022</v>
      </c>
      <c r="AU35" s="4">
        <v>0.31182795698924731</v>
      </c>
      <c r="AV35" s="2"/>
      <c r="AW35" s="2">
        <v>1000</v>
      </c>
      <c r="AX35" s="2">
        <v>2200</v>
      </c>
      <c r="AY35" s="13">
        <v>1591.4</v>
      </c>
      <c r="AZ35" s="16"/>
    </row>
    <row r="36" spans="1:579" x14ac:dyDescent="0.25">
      <c r="A36" s="30">
        <f t="shared" ref="A36:A39" si="2">A35+1</f>
        <v>3</v>
      </c>
      <c r="B36" s="30" t="s">
        <v>35</v>
      </c>
      <c r="C36" s="30">
        <v>36</v>
      </c>
      <c r="D36" s="30">
        <v>3.7</v>
      </c>
      <c r="E36" s="30">
        <v>150</v>
      </c>
      <c r="F36" s="30">
        <v>14</v>
      </c>
      <c r="G36" s="30">
        <v>111</v>
      </c>
      <c r="H36" s="30">
        <v>4572</v>
      </c>
      <c r="I36" s="30" t="s">
        <v>58</v>
      </c>
      <c r="J36" s="30" t="s">
        <v>66</v>
      </c>
      <c r="K36" s="30">
        <v>2001</v>
      </c>
      <c r="L36" s="5">
        <v>0.1388888888888889</v>
      </c>
      <c r="M36" s="4">
        <v>0.61111111111111116</v>
      </c>
      <c r="N36" s="2" t="s">
        <v>126</v>
      </c>
      <c r="O36" s="12">
        <v>5</v>
      </c>
      <c r="P36" s="12">
        <v>9</v>
      </c>
      <c r="Q36" s="13">
        <v>20.83</v>
      </c>
      <c r="R36" s="18">
        <f t="shared" ref="R36:R37" si="3">R35+1</f>
        <v>3</v>
      </c>
      <c r="S36" s="30" t="s">
        <v>49</v>
      </c>
      <c r="T36" s="2">
        <v>55</v>
      </c>
      <c r="U36" s="2">
        <v>6.7</v>
      </c>
      <c r="V36" s="2">
        <v>1</v>
      </c>
      <c r="W36" s="2">
        <v>12</v>
      </c>
      <c r="X36" s="2">
        <v>145</v>
      </c>
      <c r="Y36" s="2">
        <v>4572</v>
      </c>
      <c r="Z36" s="2" t="s">
        <v>107</v>
      </c>
      <c r="AA36" s="2" t="s">
        <v>108</v>
      </c>
      <c r="AB36" s="2">
        <v>2006</v>
      </c>
      <c r="AC36" s="4">
        <v>0</v>
      </c>
      <c r="AD36" s="4">
        <v>0.72727272727272729</v>
      </c>
      <c r="AE36" s="2"/>
      <c r="AF36" s="2">
        <v>0</v>
      </c>
      <c r="AG36" s="2">
        <v>15</v>
      </c>
      <c r="AH36" s="13">
        <v>0</v>
      </c>
      <c r="AI36" s="18">
        <f t="shared" ref="AI36:AI83" si="4">AI35+1</f>
        <v>3</v>
      </c>
      <c r="AJ36" s="12" t="s">
        <v>64</v>
      </c>
      <c r="AK36" s="2">
        <v>650</v>
      </c>
      <c r="AL36" s="2">
        <v>1</v>
      </c>
      <c r="AM36" s="2">
        <v>1</v>
      </c>
      <c r="AN36" s="2">
        <v>1</v>
      </c>
      <c r="AO36" s="2">
        <v>1</v>
      </c>
      <c r="AP36" s="2">
        <v>1</v>
      </c>
      <c r="AQ36" s="2">
        <v>1</v>
      </c>
      <c r="AR36" s="2">
        <v>1</v>
      </c>
      <c r="AS36" s="2">
        <v>1800</v>
      </c>
      <c r="AT36" s="4">
        <v>0.12307692307692308</v>
      </c>
      <c r="AU36" s="4">
        <v>0.6</v>
      </c>
      <c r="AV36" s="2" t="s">
        <v>132</v>
      </c>
      <c r="AW36" s="2">
        <v>80</v>
      </c>
      <c r="AX36" s="2">
        <v>180</v>
      </c>
      <c r="AY36" s="13">
        <v>0</v>
      </c>
      <c r="AZ36" s="16"/>
    </row>
    <row r="37" spans="1:579" x14ac:dyDescent="0.25">
      <c r="A37" s="30">
        <f t="shared" si="2"/>
        <v>4</v>
      </c>
      <c r="B37" s="30" t="s">
        <v>34</v>
      </c>
      <c r="C37" s="30">
        <v>22</v>
      </c>
      <c r="D37" s="30">
        <v>3.1</v>
      </c>
      <c r="E37" s="30">
        <v>100</v>
      </c>
      <c r="F37" s="30">
        <v>24</v>
      </c>
      <c r="G37" s="30">
        <v>148</v>
      </c>
      <c r="H37" s="30">
        <v>4900</v>
      </c>
      <c r="I37" s="30" t="s">
        <v>58</v>
      </c>
      <c r="J37" s="30" t="s">
        <v>65</v>
      </c>
      <c r="K37" s="12">
        <v>2004</v>
      </c>
      <c r="L37" s="5">
        <v>0.15909090909090909</v>
      </c>
      <c r="M37" s="4">
        <v>0.56818181818181823</v>
      </c>
      <c r="N37" s="2" t="s">
        <v>124</v>
      </c>
      <c r="O37" s="30">
        <v>3.5</v>
      </c>
      <c r="P37" s="12">
        <v>6</v>
      </c>
      <c r="Q37" s="13">
        <v>15.91</v>
      </c>
      <c r="R37" s="18">
        <f t="shared" si="3"/>
        <v>4</v>
      </c>
      <c r="S37" s="30" t="s">
        <v>50</v>
      </c>
      <c r="T37" s="2">
        <v>73</v>
      </c>
      <c r="U37" s="2">
        <v>2.4900000000000002</v>
      </c>
      <c r="V37" s="2">
        <v>1</v>
      </c>
      <c r="W37" s="2">
        <v>0.75</v>
      </c>
      <c r="X37" s="2">
        <v>650</v>
      </c>
      <c r="Y37" s="2">
        <v>7600</v>
      </c>
      <c r="Z37" s="2" t="s">
        <v>76</v>
      </c>
      <c r="AA37" s="2" t="s">
        <v>109</v>
      </c>
      <c r="AB37" s="2">
        <v>2010</v>
      </c>
      <c r="AC37" s="4">
        <v>0</v>
      </c>
      <c r="AD37" s="4">
        <v>0.68493150684931503</v>
      </c>
      <c r="AE37" s="2"/>
      <c r="AF37" s="2">
        <v>0</v>
      </c>
      <c r="AG37" s="2">
        <v>23</v>
      </c>
      <c r="AH37" s="13">
        <v>0</v>
      </c>
      <c r="AI37" s="18">
        <f t="shared" si="4"/>
        <v>4</v>
      </c>
      <c r="AJ37" s="2" t="s">
        <v>62</v>
      </c>
      <c r="AK37" s="2">
        <v>1330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1800</v>
      </c>
      <c r="AT37" s="4">
        <v>0.25939849624060152</v>
      </c>
      <c r="AU37" s="4">
        <v>0.36466165413533835</v>
      </c>
      <c r="AV37" s="2" t="s">
        <v>132</v>
      </c>
      <c r="AW37" s="2">
        <v>345</v>
      </c>
      <c r="AX37" s="2">
        <v>500</v>
      </c>
      <c r="AY37" s="13">
        <v>0</v>
      </c>
      <c r="AZ37" s="16"/>
    </row>
    <row r="38" spans="1:579" x14ac:dyDescent="0.25">
      <c r="A38" s="30">
        <f t="shared" si="2"/>
        <v>5</v>
      </c>
      <c r="B38" s="32" t="s">
        <v>148</v>
      </c>
      <c r="C38" s="32">
        <v>14</v>
      </c>
      <c r="D38" s="6">
        <v>3.6</v>
      </c>
      <c r="E38" s="6">
        <v>30</v>
      </c>
      <c r="F38" s="6">
        <v>2</v>
      </c>
      <c r="G38" s="6">
        <v>100</v>
      </c>
      <c r="H38" s="6">
        <v>3000</v>
      </c>
      <c r="I38" s="6" t="s">
        <v>76</v>
      </c>
      <c r="J38" s="6" t="s">
        <v>93</v>
      </c>
      <c r="K38" s="2">
        <v>2014</v>
      </c>
      <c r="L38" s="4">
        <v>0.17857142857142858</v>
      </c>
      <c r="M38" s="4">
        <v>0.8214285714285714</v>
      </c>
      <c r="N38" s="6" t="s">
        <v>150</v>
      </c>
      <c r="O38" s="6">
        <v>2.5</v>
      </c>
      <c r="P38" s="12">
        <v>0</v>
      </c>
      <c r="Q38" s="13">
        <v>5.36</v>
      </c>
      <c r="R38" s="16"/>
      <c r="AI38" s="18">
        <f t="shared" si="4"/>
        <v>5</v>
      </c>
      <c r="AJ38" s="2" t="s">
        <v>63</v>
      </c>
      <c r="AK38" s="2">
        <v>3300</v>
      </c>
      <c r="AL38" s="2">
        <v>1</v>
      </c>
      <c r="AM38" s="2">
        <v>1</v>
      </c>
      <c r="AN38" s="2">
        <v>1</v>
      </c>
      <c r="AO38" s="2">
        <v>1</v>
      </c>
      <c r="AP38" s="2">
        <v>1</v>
      </c>
      <c r="AQ38" s="2">
        <v>1</v>
      </c>
      <c r="AR38" s="2">
        <v>1</v>
      </c>
      <c r="AS38" s="2">
        <v>1800</v>
      </c>
      <c r="AT38" s="4">
        <v>0.30303030303030304</v>
      </c>
      <c r="AU38" s="4">
        <v>0.36363636363636365</v>
      </c>
      <c r="AV38" s="2" t="s">
        <v>132</v>
      </c>
      <c r="AW38" s="2">
        <v>1000</v>
      </c>
      <c r="AX38" s="2">
        <v>1100</v>
      </c>
      <c r="AY38" s="13">
        <v>0</v>
      </c>
      <c r="AZ38" s="16"/>
    </row>
    <row r="39" spans="1:579" x14ac:dyDescent="0.25">
      <c r="A39" s="30">
        <f t="shared" si="2"/>
        <v>6</v>
      </c>
      <c r="B39" s="10" t="s">
        <v>151</v>
      </c>
      <c r="C39" s="10">
        <v>30</v>
      </c>
      <c r="D39" s="32">
        <v>4.5999999999999996</v>
      </c>
      <c r="E39" s="32">
        <v>80</v>
      </c>
      <c r="F39" s="32">
        <v>4</v>
      </c>
      <c r="G39" s="32">
        <v>110</v>
      </c>
      <c r="H39" s="32">
        <v>3000</v>
      </c>
      <c r="I39" s="32" t="s">
        <v>76</v>
      </c>
      <c r="J39" s="32" t="s">
        <v>93</v>
      </c>
      <c r="K39" s="2">
        <v>2016</v>
      </c>
      <c r="L39" s="4">
        <v>0.16666666666666666</v>
      </c>
      <c r="M39" s="4">
        <v>0.6333333333333333</v>
      </c>
      <c r="N39" s="32" t="s">
        <v>150</v>
      </c>
      <c r="O39" s="30">
        <v>5</v>
      </c>
      <c r="P39" s="12">
        <v>6</v>
      </c>
      <c r="Q39" s="13">
        <v>13.33</v>
      </c>
      <c r="R39" s="16"/>
      <c r="AI39" s="18">
        <f t="shared" si="4"/>
        <v>6</v>
      </c>
      <c r="AJ39" s="12" t="s">
        <v>41</v>
      </c>
      <c r="AK39" s="2">
        <v>1500</v>
      </c>
      <c r="AL39" s="2">
        <v>20</v>
      </c>
      <c r="AM39" s="2">
        <v>2400</v>
      </c>
      <c r="AN39" s="2">
        <v>120</v>
      </c>
      <c r="AO39" s="2">
        <v>138</v>
      </c>
      <c r="AP39" s="2">
        <v>7000</v>
      </c>
      <c r="AQ39" s="2" t="s">
        <v>68</v>
      </c>
      <c r="AR39" s="2" t="s">
        <v>69</v>
      </c>
      <c r="AS39" s="2">
        <v>1800</v>
      </c>
      <c r="AT39" s="4">
        <v>0.66666666666666663</v>
      </c>
      <c r="AU39" s="4">
        <v>0.16666666666666666</v>
      </c>
      <c r="AV39" s="2" t="s">
        <v>132</v>
      </c>
      <c r="AW39" s="2">
        <v>1000</v>
      </c>
      <c r="AX39" s="2">
        <v>250</v>
      </c>
      <c r="AY39" s="13">
        <v>1600</v>
      </c>
      <c r="AZ39" s="16"/>
    </row>
    <row r="40" spans="1:579" x14ac:dyDescent="0.25">
      <c r="R40" s="16"/>
      <c r="AI40" s="18">
        <f t="shared" si="4"/>
        <v>7</v>
      </c>
      <c r="AJ40" s="12" t="s">
        <v>42</v>
      </c>
      <c r="AK40" s="2">
        <v>1100</v>
      </c>
      <c r="AL40" s="2">
        <v>1</v>
      </c>
      <c r="AM40" s="2">
        <v>1700</v>
      </c>
      <c r="AN40" s="2">
        <v>1</v>
      </c>
      <c r="AO40" s="2">
        <v>1</v>
      </c>
      <c r="AP40" s="2">
        <v>1</v>
      </c>
      <c r="AQ40" s="2">
        <v>1</v>
      </c>
      <c r="AR40" s="2">
        <v>1</v>
      </c>
      <c r="AS40" s="2">
        <v>1800</v>
      </c>
      <c r="AT40" s="4">
        <v>0.36363636363636365</v>
      </c>
      <c r="AU40" s="4">
        <v>0.36363636363636365</v>
      </c>
      <c r="AV40" s="2" t="s">
        <v>133</v>
      </c>
      <c r="AW40" s="2">
        <v>400</v>
      </c>
      <c r="AX40" s="2">
        <v>300</v>
      </c>
      <c r="AY40" s="13">
        <v>618.17999999999995</v>
      </c>
      <c r="AZ40" s="16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</row>
    <row r="41" spans="1:579" x14ac:dyDescent="0.25">
      <c r="R41" s="16"/>
      <c r="AI41" s="18">
        <f t="shared" si="4"/>
        <v>8</v>
      </c>
      <c r="AJ41" s="12" t="s">
        <v>48</v>
      </c>
      <c r="AK41" s="2">
        <v>2150</v>
      </c>
      <c r="AL41" s="2">
        <v>1</v>
      </c>
      <c r="AM41" s="2">
        <v>1</v>
      </c>
      <c r="AN41" s="2">
        <v>1</v>
      </c>
      <c r="AO41" s="2">
        <v>1</v>
      </c>
      <c r="AP41" s="2">
        <v>1</v>
      </c>
      <c r="AQ41" s="2">
        <v>1</v>
      </c>
      <c r="AR41" s="2">
        <v>1</v>
      </c>
      <c r="AS41" s="2">
        <v>1800</v>
      </c>
      <c r="AT41" s="4">
        <v>0</v>
      </c>
      <c r="AU41" s="4">
        <v>0.60465116279069764</v>
      </c>
      <c r="AV41" s="2" t="s">
        <v>132</v>
      </c>
      <c r="AW41" s="2">
        <v>0</v>
      </c>
      <c r="AX41" s="2">
        <v>850</v>
      </c>
      <c r="AY41" s="13">
        <v>0</v>
      </c>
      <c r="AZ41" s="16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</row>
    <row r="42" spans="1:579" x14ac:dyDescent="0.25">
      <c r="R42" s="16"/>
      <c r="AI42" s="18">
        <f t="shared" si="4"/>
        <v>9</v>
      </c>
      <c r="AJ42" s="32" t="s">
        <v>155</v>
      </c>
      <c r="AK42" s="6">
        <v>147</v>
      </c>
      <c r="AL42" s="6">
        <v>1.72</v>
      </c>
      <c r="AM42" s="6">
        <v>93</v>
      </c>
      <c r="AN42" s="6">
        <v>0.4</v>
      </c>
      <c r="AO42" s="6">
        <v>500</v>
      </c>
      <c r="AP42" s="6"/>
      <c r="AQ42" s="6" t="s">
        <v>180</v>
      </c>
      <c r="AR42" s="6" t="s">
        <v>93</v>
      </c>
      <c r="AS42" s="6">
        <v>1800</v>
      </c>
      <c r="AT42" s="4">
        <v>0.1360544217687075</v>
      </c>
      <c r="AU42" s="4">
        <v>0.86394557823129248</v>
      </c>
      <c r="AV42" s="6" t="s">
        <v>150</v>
      </c>
      <c r="AW42" s="6">
        <v>20</v>
      </c>
      <c r="AX42" s="2"/>
      <c r="AY42" s="13">
        <v>12.65</v>
      </c>
      <c r="AZ42" s="16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</row>
    <row r="43" spans="1:579" x14ac:dyDescent="0.25">
      <c r="R43" s="16"/>
      <c r="AI43" s="18">
        <f t="shared" si="4"/>
        <v>10</v>
      </c>
      <c r="AJ43" s="32" t="s">
        <v>157</v>
      </c>
      <c r="AK43" s="6">
        <v>161</v>
      </c>
      <c r="AL43" s="6">
        <v>3.4</v>
      </c>
      <c r="AM43" s="6">
        <v>150</v>
      </c>
      <c r="AN43" s="6">
        <v>3.5</v>
      </c>
      <c r="AO43" s="6">
        <v>250</v>
      </c>
      <c r="AP43" s="6">
        <v>4000</v>
      </c>
      <c r="AQ43" s="6" t="s">
        <v>182</v>
      </c>
      <c r="AR43" s="6" t="s">
        <v>183</v>
      </c>
      <c r="AS43" s="6">
        <v>1800</v>
      </c>
      <c r="AT43" s="4">
        <v>0</v>
      </c>
      <c r="AU43" s="4">
        <v>1</v>
      </c>
      <c r="AV43" s="6" t="s">
        <v>150</v>
      </c>
      <c r="AW43" s="6"/>
      <c r="AX43" s="2"/>
      <c r="AY43" s="13">
        <v>0</v>
      </c>
      <c r="AZ43" s="16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</row>
    <row r="44" spans="1:579" x14ac:dyDescent="0.25">
      <c r="R44" s="16"/>
      <c r="AI44" s="18">
        <f t="shared" si="4"/>
        <v>11</v>
      </c>
      <c r="AJ44" s="33" t="s">
        <v>158</v>
      </c>
      <c r="AK44" s="6">
        <v>210</v>
      </c>
      <c r="AL44" s="6">
        <v>6.5</v>
      </c>
      <c r="AM44" s="6">
        <v>1</v>
      </c>
      <c r="AN44" s="6">
        <v>12</v>
      </c>
      <c r="AO44" s="6">
        <v>205</v>
      </c>
      <c r="AP44" s="6">
        <v>5400</v>
      </c>
      <c r="AQ44" s="6" t="s">
        <v>70</v>
      </c>
      <c r="AR44" s="6" t="s">
        <v>70</v>
      </c>
      <c r="AS44" s="6">
        <v>1800</v>
      </c>
      <c r="AT44" s="4">
        <v>0.23809523809523808</v>
      </c>
      <c r="AU44" s="4">
        <v>0.76190476190476186</v>
      </c>
      <c r="AV44" s="6" t="s">
        <v>150</v>
      </c>
      <c r="AW44" s="6">
        <v>50</v>
      </c>
      <c r="AX44" s="2"/>
      <c r="AY44" s="13">
        <v>0</v>
      </c>
      <c r="AZ44" s="16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</row>
    <row r="45" spans="1:579" x14ac:dyDescent="0.25">
      <c r="R45" s="16"/>
      <c r="AI45" s="18">
        <f t="shared" si="4"/>
        <v>12</v>
      </c>
      <c r="AJ45" s="33" t="s">
        <v>161</v>
      </c>
      <c r="AK45" s="32">
        <v>450</v>
      </c>
      <c r="AL45" s="32">
        <v>10.5</v>
      </c>
      <c r="AM45" s="32">
        <v>200</v>
      </c>
      <c r="AN45" s="32">
        <v>20</v>
      </c>
      <c r="AO45" s="32">
        <v>176</v>
      </c>
      <c r="AP45" s="32">
        <v>6100</v>
      </c>
      <c r="AQ45" s="32" t="s">
        <v>184</v>
      </c>
      <c r="AR45" s="32" t="s">
        <v>185</v>
      </c>
      <c r="AS45" s="32">
        <v>1800</v>
      </c>
      <c r="AT45" s="4">
        <v>0.33333333333333331</v>
      </c>
      <c r="AU45" s="4">
        <v>0.66666666666666663</v>
      </c>
      <c r="AV45" s="32" t="s">
        <v>150</v>
      </c>
      <c r="AW45" s="32">
        <v>150</v>
      </c>
      <c r="AX45" s="30"/>
      <c r="AY45" s="13">
        <v>66.67</v>
      </c>
      <c r="AZ45" s="16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</row>
    <row r="46" spans="1:579" x14ac:dyDescent="0.25">
      <c r="R46" s="16"/>
      <c r="AI46" s="18">
        <f t="shared" si="4"/>
        <v>13</v>
      </c>
      <c r="AJ46" s="32" t="s">
        <v>162</v>
      </c>
      <c r="AK46" s="32">
        <v>1100</v>
      </c>
      <c r="AL46" s="32">
        <v>16.600000000000001</v>
      </c>
      <c r="AM46" s="32">
        <v>231</v>
      </c>
      <c r="AN46" s="32">
        <v>50</v>
      </c>
      <c r="AO46" s="32">
        <v>231</v>
      </c>
      <c r="AP46" s="32">
        <v>9145</v>
      </c>
      <c r="AQ46" s="32" t="s">
        <v>70</v>
      </c>
      <c r="AR46" s="32" t="s">
        <v>70</v>
      </c>
      <c r="AS46" s="32">
        <v>1800</v>
      </c>
      <c r="AT46" s="4">
        <v>0.22727272727272727</v>
      </c>
      <c r="AU46" s="4">
        <v>0.77272727272727271</v>
      </c>
      <c r="AV46" s="32" t="s">
        <v>150</v>
      </c>
      <c r="AW46" s="32">
        <v>250</v>
      </c>
      <c r="AX46" s="30"/>
      <c r="AY46" s="13">
        <v>52.5</v>
      </c>
      <c r="AZ46" s="1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</row>
    <row r="47" spans="1:579" x14ac:dyDescent="0.25">
      <c r="R47" s="16"/>
      <c r="AI47" s="18">
        <f t="shared" si="4"/>
        <v>14</v>
      </c>
      <c r="AJ47" s="32" t="s">
        <v>163</v>
      </c>
      <c r="AK47" s="32">
        <v>138</v>
      </c>
      <c r="AL47" s="32">
        <v>4</v>
      </c>
      <c r="AM47" s="32">
        <v>1</v>
      </c>
      <c r="AN47" s="32">
        <v>7.5</v>
      </c>
      <c r="AO47" s="32">
        <v>185</v>
      </c>
      <c r="AP47" s="32">
        <v>4500</v>
      </c>
      <c r="AQ47" s="32" t="s">
        <v>207</v>
      </c>
      <c r="AR47" s="32" t="s">
        <v>186</v>
      </c>
      <c r="AS47" s="32">
        <v>1800</v>
      </c>
      <c r="AT47" s="4">
        <v>0.26811594202898553</v>
      </c>
      <c r="AU47" s="4">
        <v>0.73188405797101452</v>
      </c>
      <c r="AV47" s="32" t="s">
        <v>150</v>
      </c>
      <c r="AW47" s="32">
        <v>37</v>
      </c>
      <c r="AX47" s="30"/>
      <c r="AY47" s="13">
        <v>0</v>
      </c>
      <c r="AZ47" s="16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</row>
    <row r="48" spans="1:579" x14ac:dyDescent="0.25">
      <c r="R48" s="16"/>
      <c r="AI48" s="18">
        <f t="shared" si="4"/>
        <v>15</v>
      </c>
      <c r="AJ48" s="32" t="s">
        <v>164</v>
      </c>
      <c r="AK48" s="32">
        <v>185</v>
      </c>
      <c r="AL48" s="32">
        <v>4.2</v>
      </c>
      <c r="AM48" s="32">
        <v>100</v>
      </c>
      <c r="AN48" s="32">
        <v>6</v>
      </c>
      <c r="AO48" s="32">
        <v>195</v>
      </c>
      <c r="AP48" s="32">
        <v>5000</v>
      </c>
      <c r="AQ48" s="32" t="s">
        <v>70</v>
      </c>
      <c r="AR48" s="32" t="s">
        <v>70</v>
      </c>
      <c r="AS48" s="32">
        <v>1800</v>
      </c>
      <c r="AT48" s="4">
        <v>0.27027027027027029</v>
      </c>
      <c r="AU48" s="4">
        <v>0.72972972972972971</v>
      </c>
      <c r="AV48" s="32" t="s">
        <v>150</v>
      </c>
      <c r="AW48" s="32">
        <v>50</v>
      </c>
      <c r="AX48" s="30"/>
      <c r="AY48" s="13">
        <v>27.03</v>
      </c>
      <c r="AZ48" s="16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</row>
    <row r="49" spans="18:579" x14ac:dyDescent="0.25">
      <c r="R49" s="16"/>
      <c r="AI49" s="18">
        <f t="shared" si="4"/>
        <v>16</v>
      </c>
      <c r="AJ49" s="32" t="s">
        <v>165</v>
      </c>
      <c r="AK49" s="32">
        <v>726</v>
      </c>
      <c r="AL49" s="32">
        <v>8.9</v>
      </c>
      <c r="AM49" s="32">
        <v>200</v>
      </c>
      <c r="AN49" s="32">
        <v>12</v>
      </c>
      <c r="AO49" s="32">
        <v>204</v>
      </c>
      <c r="AP49" s="32">
        <v>4500</v>
      </c>
      <c r="AQ49" s="32" t="s">
        <v>70</v>
      </c>
      <c r="AR49" s="32" t="s">
        <v>70</v>
      </c>
      <c r="AS49" s="32">
        <v>1800</v>
      </c>
      <c r="AT49" s="4">
        <v>0.27548209366391185</v>
      </c>
      <c r="AU49" s="4">
        <v>0.31129476584022037</v>
      </c>
      <c r="AV49" s="32" t="s">
        <v>150</v>
      </c>
      <c r="AW49" s="32">
        <v>200</v>
      </c>
      <c r="AX49" s="30">
        <v>300</v>
      </c>
      <c r="AY49" s="13">
        <v>55.1</v>
      </c>
      <c r="AZ49" s="16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</row>
    <row r="50" spans="18:579" x14ac:dyDescent="0.25">
      <c r="R50" s="16"/>
      <c r="AI50" s="18">
        <f t="shared" si="4"/>
        <v>17</v>
      </c>
      <c r="AJ50" s="32" t="s">
        <v>167</v>
      </c>
      <c r="AK50" s="32">
        <v>222</v>
      </c>
      <c r="AL50" s="32">
        <v>4</v>
      </c>
      <c r="AM50" s="32">
        <v>150</v>
      </c>
      <c r="AN50" s="32">
        <v>6</v>
      </c>
      <c r="AO50" s="32">
        <v>180</v>
      </c>
      <c r="AP50" s="32">
        <v>5000</v>
      </c>
      <c r="AQ50" s="32" t="s">
        <v>207</v>
      </c>
      <c r="AR50" s="32" t="s">
        <v>93</v>
      </c>
      <c r="AS50" s="32">
        <v>1800</v>
      </c>
      <c r="AT50" s="4">
        <v>0.22522522522522523</v>
      </c>
      <c r="AU50" s="4">
        <v>0.77477477477477474</v>
      </c>
      <c r="AV50" s="32" t="s">
        <v>150</v>
      </c>
      <c r="AW50" s="32">
        <v>50</v>
      </c>
      <c r="AX50" s="30"/>
      <c r="AY50" s="13">
        <v>33.78</v>
      </c>
      <c r="AZ50" s="16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</row>
    <row r="51" spans="18:579" x14ac:dyDescent="0.25">
      <c r="R51" s="16"/>
      <c r="AI51" s="18">
        <f t="shared" si="4"/>
        <v>18</v>
      </c>
      <c r="AJ51" s="32" t="s">
        <v>168</v>
      </c>
      <c r="AK51" s="32">
        <v>140</v>
      </c>
      <c r="AL51" s="32">
        <v>2.2999999999999998</v>
      </c>
      <c r="AM51" s="32">
        <v>60</v>
      </c>
      <c r="AN51" s="32">
        <v>2</v>
      </c>
      <c r="AO51" s="32">
        <v>180</v>
      </c>
      <c r="AP51" s="32">
        <v>3200</v>
      </c>
      <c r="AQ51" s="32" t="s">
        <v>76</v>
      </c>
      <c r="AR51" s="32" t="s">
        <v>93</v>
      </c>
      <c r="AS51" s="32">
        <v>1800</v>
      </c>
      <c r="AT51" s="4">
        <v>0.35714285714285715</v>
      </c>
      <c r="AU51" s="4">
        <v>0.6428571428571429</v>
      </c>
      <c r="AV51" s="32" t="s">
        <v>150</v>
      </c>
      <c r="AW51" s="32">
        <v>50</v>
      </c>
      <c r="AX51" s="30"/>
      <c r="AY51" s="13">
        <v>21.43</v>
      </c>
      <c r="AZ51" s="16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</row>
    <row r="52" spans="18:579" x14ac:dyDescent="0.25">
      <c r="R52" s="16"/>
      <c r="AI52" s="18">
        <f t="shared" si="4"/>
        <v>19</v>
      </c>
      <c r="AJ52" s="32" t="s">
        <v>169</v>
      </c>
      <c r="AK52" s="32">
        <v>6215</v>
      </c>
      <c r="AL52" s="32">
        <v>3.9</v>
      </c>
      <c r="AM52" s="32">
        <v>1000</v>
      </c>
      <c r="AN52" s="32">
        <v>1</v>
      </c>
      <c r="AO52" s="32">
        <v>1100</v>
      </c>
      <c r="AP52" s="32">
        <v>6000</v>
      </c>
      <c r="AQ52" s="32" t="s">
        <v>188</v>
      </c>
      <c r="AR52" s="32" t="s">
        <v>93</v>
      </c>
      <c r="AS52" s="32">
        <v>1800</v>
      </c>
      <c r="AT52" s="4">
        <v>0.16090104585679807</v>
      </c>
      <c r="AU52" s="4">
        <v>0.8390989541432019</v>
      </c>
      <c r="AV52" s="32" t="s">
        <v>150</v>
      </c>
      <c r="AW52" s="32">
        <v>1000</v>
      </c>
      <c r="AX52" s="30"/>
      <c r="AY52" s="13">
        <v>160.9</v>
      </c>
      <c r="AZ52" s="16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</row>
    <row r="53" spans="18:579" x14ac:dyDescent="0.25">
      <c r="R53" s="16"/>
      <c r="AI53" s="18">
        <f t="shared" si="4"/>
        <v>20</v>
      </c>
      <c r="AJ53" s="32" t="s">
        <v>170</v>
      </c>
      <c r="AK53" s="32">
        <v>1230</v>
      </c>
      <c r="AL53" s="32">
        <v>2.25</v>
      </c>
      <c r="AM53" s="32">
        <v>200</v>
      </c>
      <c r="AN53" s="32">
        <v>0.25</v>
      </c>
      <c r="AO53" s="32">
        <v>950</v>
      </c>
      <c r="AP53" s="32">
        <v>5000</v>
      </c>
      <c r="AQ53" s="32" t="s">
        <v>189</v>
      </c>
      <c r="AR53" s="32" t="s">
        <v>93</v>
      </c>
      <c r="AS53" s="32">
        <v>1800</v>
      </c>
      <c r="AT53" s="4">
        <v>0.14634146341463414</v>
      </c>
      <c r="AU53" s="4">
        <v>0.85365853658536583</v>
      </c>
      <c r="AV53" s="32" t="s">
        <v>150</v>
      </c>
      <c r="AW53" s="32">
        <v>180</v>
      </c>
      <c r="AX53" s="30"/>
      <c r="AY53" s="13">
        <v>29.27</v>
      </c>
      <c r="AZ53" s="16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</row>
    <row r="54" spans="18:579" x14ac:dyDescent="0.25">
      <c r="R54" s="16"/>
      <c r="AI54" s="18">
        <f t="shared" si="4"/>
        <v>21</v>
      </c>
      <c r="AJ54" s="10" t="s">
        <v>171</v>
      </c>
      <c r="AK54" s="32">
        <v>1350</v>
      </c>
      <c r="AL54" s="32">
        <v>2.25</v>
      </c>
      <c r="AM54" s="32">
        <v>360</v>
      </c>
      <c r="AN54" s="32">
        <v>0.5</v>
      </c>
      <c r="AO54" s="32">
        <v>950</v>
      </c>
      <c r="AP54" s="32">
        <v>5000</v>
      </c>
      <c r="AQ54" s="32" t="s">
        <v>189</v>
      </c>
      <c r="AR54" s="32" t="s">
        <v>93</v>
      </c>
      <c r="AS54" s="32">
        <v>1800</v>
      </c>
      <c r="AT54" s="4">
        <v>0.15555555555555556</v>
      </c>
      <c r="AU54" s="4">
        <v>0.84444444444444444</v>
      </c>
      <c r="AV54" s="32" t="s">
        <v>150</v>
      </c>
      <c r="AW54" s="32">
        <v>210</v>
      </c>
      <c r="AX54" s="30"/>
      <c r="AY54" s="13">
        <v>56</v>
      </c>
      <c r="AZ54" s="16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</row>
    <row r="55" spans="18:579" x14ac:dyDescent="0.25">
      <c r="R55" s="16"/>
      <c r="AI55" s="18">
        <f t="shared" si="4"/>
        <v>22</v>
      </c>
      <c r="AJ55" s="10" t="s">
        <v>172</v>
      </c>
      <c r="AK55" s="32">
        <v>1500</v>
      </c>
      <c r="AL55" s="32">
        <v>5</v>
      </c>
      <c r="AM55" s="32">
        <v>1000</v>
      </c>
      <c r="AN55" s="32">
        <v>1.5</v>
      </c>
      <c r="AO55" s="32">
        <v>950</v>
      </c>
      <c r="AP55" s="32">
        <v>9000</v>
      </c>
      <c r="AQ55" s="32" t="s">
        <v>190</v>
      </c>
      <c r="AR55" s="32" t="s">
        <v>93</v>
      </c>
      <c r="AS55" s="32">
        <v>1800</v>
      </c>
      <c r="AT55" s="4">
        <v>0.2</v>
      </c>
      <c r="AU55" s="4">
        <v>0.8</v>
      </c>
      <c r="AV55" s="32" t="s">
        <v>150</v>
      </c>
      <c r="AW55" s="32">
        <v>300</v>
      </c>
      <c r="AX55" s="30"/>
      <c r="AY55" s="13">
        <v>200</v>
      </c>
      <c r="AZ55" s="16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</row>
    <row r="56" spans="18:579" x14ac:dyDescent="0.25">
      <c r="R56" s="16"/>
      <c r="AI56" s="18">
        <f t="shared" si="4"/>
        <v>23</v>
      </c>
      <c r="AJ56" s="10" t="s">
        <v>173</v>
      </c>
      <c r="AK56" s="32">
        <v>880</v>
      </c>
      <c r="AL56" s="32">
        <v>4.2</v>
      </c>
      <c r="AM56" s="32">
        <v>320</v>
      </c>
      <c r="AN56" s="32">
        <v>0.6</v>
      </c>
      <c r="AO56" s="32">
        <v>900</v>
      </c>
      <c r="AP56" s="32">
        <v>8000</v>
      </c>
      <c r="AQ56" s="32" t="s">
        <v>191</v>
      </c>
      <c r="AR56" s="32" t="s">
        <v>93</v>
      </c>
      <c r="AS56" s="32">
        <v>1800</v>
      </c>
      <c r="AT56" s="4">
        <v>0.22727272727272727</v>
      </c>
      <c r="AU56" s="4">
        <v>0.77272727272727271</v>
      </c>
      <c r="AV56" s="32" t="s">
        <v>150</v>
      </c>
      <c r="AW56" s="32">
        <v>200</v>
      </c>
      <c r="AX56" s="30"/>
      <c r="AY56" s="13">
        <v>72.73</v>
      </c>
      <c r="AZ56" s="1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</row>
    <row r="57" spans="18:579" x14ac:dyDescent="0.25">
      <c r="R57" s="16"/>
      <c r="AI57" s="18">
        <f t="shared" si="4"/>
        <v>24</v>
      </c>
      <c r="AJ57" s="10" t="s">
        <v>176</v>
      </c>
      <c r="AK57" s="32">
        <v>205</v>
      </c>
      <c r="AL57" s="32">
        <v>5</v>
      </c>
      <c r="AM57" s="32">
        <v>185</v>
      </c>
      <c r="AN57" s="32">
        <v>5</v>
      </c>
      <c r="AO57" s="32">
        <v>175</v>
      </c>
      <c r="AP57" s="32">
        <v>4600</v>
      </c>
      <c r="AQ57" s="32" t="s">
        <v>207</v>
      </c>
      <c r="AR57" s="32" t="s">
        <v>208</v>
      </c>
      <c r="AS57" s="32">
        <v>1800</v>
      </c>
      <c r="AT57" s="4">
        <v>0.21951219512195122</v>
      </c>
      <c r="AU57" s="4">
        <v>0.78048780487804881</v>
      </c>
      <c r="AV57" s="32" t="s">
        <v>150</v>
      </c>
      <c r="AW57" s="32">
        <v>45</v>
      </c>
      <c r="AX57" s="30"/>
      <c r="AY57" s="13">
        <v>40.61</v>
      </c>
      <c r="AZ57" s="16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</row>
    <row r="58" spans="18:579" x14ac:dyDescent="0.25">
      <c r="R58" s="16"/>
      <c r="AI58" s="18">
        <f t="shared" si="4"/>
        <v>25</v>
      </c>
      <c r="AJ58" s="10" t="s">
        <v>177</v>
      </c>
      <c r="AK58" s="32">
        <v>885</v>
      </c>
      <c r="AL58" s="32">
        <v>12.8</v>
      </c>
      <c r="AM58" s="32">
        <v>2000</v>
      </c>
      <c r="AN58" s="32">
        <v>48</v>
      </c>
      <c r="AO58" s="32">
        <v>220</v>
      </c>
      <c r="AP58" s="32">
        <v>7600</v>
      </c>
      <c r="AQ58" s="32" t="s">
        <v>70</v>
      </c>
      <c r="AR58" s="32" t="s">
        <v>70</v>
      </c>
      <c r="AS58" s="32">
        <v>1800</v>
      </c>
      <c r="AT58" s="4">
        <v>0.16949152542372881</v>
      </c>
      <c r="AU58" s="4">
        <v>0.83050847457627119</v>
      </c>
      <c r="AV58" s="32" t="s">
        <v>150</v>
      </c>
      <c r="AW58" s="32">
        <v>150</v>
      </c>
      <c r="AX58" s="30"/>
      <c r="AY58" s="13">
        <v>338.98</v>
      </c>
      <c r="AZ58" s="16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</row>
    <row r="59" spans="18:579" x14ac:dyDescent="0.25">
      <c r="R59" s="16"/>
      <c r="AI59" s="18">
        <f t="shared" si="4"/>
        <v>26</v>
      </c>
      <c r="AJ59" s="10" t="s">
        <v>192</v>
      </c>
      <c r="AK59" s="10">
        <v>1850</v>
      </c>
      <c r="AL59" s="10">
        <v>13.3</v>
      </c>
      <c r="AM59" s="10">
        <v>925</v>
      </c>
      <c r="AN59" s="10">
        <v>8</v>
      </c>
      <c r="AO59" s="10">
        <v>750</v>
      </c>
      <c r="AP59" s="10">
        <v>13700</v>
      </c>
      <c r="AQ59" s="10" t="s">
        <v>70</v>
      </c>
      <c r="AR59" s="10" t="s">
        <v>70</v>
      </c>
      <c r="AS59" s="32">
        <v>1800</v>
      </c>
      <c r="AT59" s="4">
        <v>0.24324324324324326</v>
      </c>
      <c r="AU59" s="4">
        <v>0.7567567567567568</v>
      </c>
      <c r="AV59" s="10" t="s">
        <v>150</v>
      </c>
      <c r="AW59" s="10">
        <v>450</v>
      </c>
      <c r="AX59" s="12"/>
      <c r="AY59" s="13">
        <v>225</v>
      </c>
      <c r="AZ59" s="16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</row>
    <row r="60" spans="18:579" x14ac:dyDescent="0.25">
      <c r="R60" s="16"/>
      <c r="AI60" s="18">
        <f t="shared" si="4"/>
        <v>27</v>
      </c>
      <c r="AJ60" s="10" t="s">
        <v>195</v>
      </c>
      <c r="AK60" s="10">
        <v>180</v>
      </c>
      <c r="AL60" s="10">
        <v>4.3</v>
      </c>
      <c r="AM60" s="10">
        <v>150</v>
      </c>
      <c r="AN60" s="10">
        <v>6</v>
      </c>
      <c r="AO60" s="10">
        <v>190</v>
      </c>
      <c r="AP60" s="10">
        <v>4500</v>
      </c>
      <c r="AQ60" s="10" t="s">
        <v>70</v>
      </c>
      <c r="AR60" s="10" t="s">
        <v>70</v>
      </c>
      <c r="AS60" s="10">
        <v>1800</v>
      </c>
      <c r="AT60" s="4">
        <v>0.27777777777777779</v>
      </c>
      <c r="AU60" s="4">
        <v>0.72222222222222221</v>
      </c>
      <c r="AV60" s="10" t="s">
        <v>150</v>
      </c>
      <c r="AW60" s="10">
        <v>50</v>
      </c>
      <c r="AX60" s="12"/>
      <c r="AY60" s="13">
        <v>41.67</v>
      </c>
      <c r="AZ60" s="16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</row>
    <row r="61" spans="18:579" x14ac:dyDescent="0.25">
      <c r="R61" s="16"/>
      <c r="AI61" s="18">
        <f t="shared" si="4"/>
        <v>28</v>
      </c>
      <c r="AJ61" s="10" t="s">
        <v>196</v>
      </c>
      <c r="AK61" s="10">
        <v>436</v>
      </c>
      <c r="AL61" s="10">
        <v>8.5</v>
      </c>
      <c r="AM61" s="10">
        <v>300</v>
      </c>
      <c r="AN61" s="10">
        <v>15</v>
      </c>
      <c r="AO61" s="10">
        <v>200</v>
      </c>
      <c r="AP61" s="10">
        <v>6100</v>
      </c>
      <c r="AQ61" s="10" t="s">
        <v>70</v>
      </c>
      <c r="AR61" s="10" t="s">
        <v>70</v>
      </c>
      <c r="AS61" s="10">
        <v>1800</v>
      </c>
      <c r="AT61" s="4">
        <v>0.27522935779816515</v>
      </c>
      <c r="AU61" s="4">
        <v>0.72477064220183485</v>
      </c>
      <c r="AV61" s="10" t="s">
        <v>150</v>
      </c>
      <c r="AW61" s="10">
        <v>120</v>
      </c>
      <c r="AX61" s="12"/>
      <c r="AY61" s="13">
        <v>82.57</v>
      </c>
      <c r="AZ61" s="16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</row>
    <row r="62" spans="18:579" x14ac:dyDescent="0.25">
      <c r="R62" s="16"/>
      <c r="AI62" s="18">
        <f t="shared" si="4"/>
        <v>29</v>
      </c>
      <c r="AJ62" s="10" t="s">
        <v>197</v>
      </c>
      <c r="AK62" s="10">
        <v>350</v>
      </c>
      <c r="AL62" s="10">
        <v>4.2</v>
      </c>
      <c r="AM62" s="10">
        <v>150</v>
      </c>
      <c r="AN62" s="10">
        <v>5</v>
      </c>
      <c r="AO62" s="10">
        <v>210</v>
      </c>
      <c r="AP62" s="10">
        <v>5000</v>
      </c>
      <c r="AQ62" s="10" t="s">
        <v>190</v>
      </c>
      <c r="AR62" s="10" t="s">
        <v>93</v>
      </c>
      <c r="AS62" s="10">
        <v>1800</v>
      </c>
      <c r="AT62" s="4">
        <v>0.14285714285714285</v>
      </c>
      <c r="AU62" s="4">
        <v>0.8571428571428571</v>
      </c>
      <c r="AV62" s="10" t="s">
        <v>150</v>
      </c>
      <c r="AW62" s="10">
        <v>50</v>
      </c>
      <c r="AX62" s="12"/>
      <c r="AY62" s="13">
        <v>21.43</v>
      </c>
      <c r="AZ62" s="16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</row>
    <row r="63" spans="18:579" x14ac:dyDescent="0.25">
      <c r="R63" s="16"/>
      <c r="AI63" s="18">
        <f t="shared" si="4"/>
        <v>30</v>
      </c>
      <c r="AJ63" s="10" t="s">
        <v>198</v>
      </c>
      <c r="AK63" s="10">
        <v>245</v>
      </c>
      <c r="AL63" s="10">
        <v>2</v>
      </c>
      <c r="AM63" s="10">
        <v>100</v>
      </c>
      <c r="AN63" s="10">
        <v>1</v>
      </c>
      <c r="AO63" s="10">
        <v>900</v>
      </c>
      <c r="AP63" s="10">
        <v>12000</v>
      </c>
      <c r="AQ63" s="10" t="s">
        <v>201</v>
      </c>
      <c r="AR63" s="10" t="s">
        <v>93</v>
      </c>
      <c r="AS63" s="10">
        <v>1800</v>
      </c>
      <c r="AT63" s="4">
        <v>0.16326530612244897</v>
      </c>
      <c r="AU63" s="4">
        <v>0.83673469387755106</v>
      </c>
      <c r="AV63" s="10" t="s">
        <v>150</v>
      </c>
      <c r="AW63" s="10">
        <v>40</v>
      </c>
      <c r="AX63" s="12"/>
      <c r="AY63" s="13">
        <v>16.329999999999998</v>
      </c>
      <c r="AZ63" s="16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</row>
    <row r="64" spans="18:579" x14ac:dyDescent="0.25">
      <c r="R64" s="16"/>
      <c r="AI64" s="18">
        <f t="shared" si="4"/>
        <v>31</v>
      </c>
      <c r="AJ64" s="10" t="s">
        <v>199</v>
      </c>
      <c r="AK64" s="10">
        <v>132</v>
      </c>
      <c r="AL64" s="10">
        <v>3.6</v>
      </c>
      <c r="AM64" s="10">
        <v>70</v>
      </c>
      <c r="AN64" s="10">
        <v>2</v>
      </c>
      <c r="AO64" s="10">
        <v>180</v>
      </c>
      <c r="AP64" s="10">
        <v>3000</v>
      </c>
      <c r="AQ64" s="10" t="s">
        <v>76</v>
      </c>
      <c r="AR64" s="10" t="s">
        <v>93</v>
      </c>
      <c r="AS64" s="10">
        <v>1800</v>
      </c>
      <c r="AT64" s="4">
        <v>0.22727272727272727</v>
      </c>
      <c r="AU64" s="4">
        <v>0.77272727272727271</v>
      </c>
      <c r="AV64" s="10" t="s">
        <v>150</v>
      </c>
      <c r="AW64" s="10">
        <v>30</v>
      </c>
      <c r="AX64" s="12"/>
      <c r="AY64" s="13">
        <v>15.91</v>
      </c>
      <c r="AZ64" s="16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</row>
    <row r="65" spans="18:579" x14ac:dyDescent="0.25">
      <c r="R65" s="16"/>
      <c r="AI65" s="18">
        <f t="shared" si="4"/>
        <v>32</v>
      </c>
      <c r="AJ65" s="10" t="s">
        <v>200</v>
      </c>
      <c r="AK65" s="10">
        <v>35200</v>
      </c>
      <c r="AL65" s="10">
        <v>8.4</v>
      </c>
      <c r="AM65" s="10">
        <v>3500</v>
      </c>
      <c r="AN65" s="10">
        <v>1.5</v>
      </c>
      <c r="AO65" s="10">
        <v>2700</v>
      </c>
      <c r="AP65" s="10">
        <v>22000</v>
      </c>
      <c r="AQ65" s="10" t="s">
        <v>209</v>
      </c>
      <c r="AR65" s="10" t="s">
        <v>93</v>
      </c>
      <c r="AS65" s="10">
        <v>1800</v>
      </c>
      <c r="AT65" s="4">
        <v>4.261363636363636E-2</v>
      </c>
      <c r="AU65" s="4">
        <v>0.95738636363636365</v>
      </c>
      <c r="AV65" s="10" t="s">
        <v>150</v>
      </c>
      <c r="AW65" s="10">
        <v>1500</v>
      </c>
      <c r="AX65" s="12"/>
      <c r="AY65" s="13">
        <v>149.15</v>
      </c>
      <c r="AZ65" s="16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</row>
    <row r="66" spans="18:579" x14ac:dyDescent="0.25">
      <c r="R66" s="16"/>
      <c r="AI66" s="18">
        <f t="shared" si="4"/>
        <v>33</v>
      </c>
      <c r="AJ66" s="30" t="s">
        <v>45</v>
      </c>
      <c r="AK66" s="2">
        <v>1230</v>
      </c>
      <c r="AL66" s="2">
        <v>2.2400000000000002</v>
      </c>
      <c r="AM66" s="2">
        <v>200</v>
      </c>
      <c r="AN66" s="2">
        <v>0.3</v>
      </c>
      <c r="AO66" s="2">
        <v>950</v>
      </c>
      <c r="AP66" s="2">
        <v>5000</v>
      </c>
      <c r="AQ66" s="2" t="s">
        <v>102</v>
      </c>
      <c r="AR66" s="2" t="s">
        <v>103</v>
      </c>
      <c r="AS66" s="2">
        <v>1976</v>
      </c>
      <c r="AT66" s="4">
        <v>1.5447154471544716E-2</v>
      </c>
      <c r="AU66" s="4">
        <v>0.49674796747967481</v>
      </c>
      <c r="AV66" s="2" t="s">
        <v>135</v>
      </c>
      <c r="AW66" s="2">
        <v>19</v>
      </c>
      <c r="AX66" s="2">
        <v>600</v>
      </c>
      <c r="AY66" s="13">
        <v>3.09</v>
      </c>
      <c r="AZ66" s="1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</row>
    <row r="67" spans="18:579" x14ac:dyDescent="0.25">
      <c r="R67" s="16"/>
      <c r="AI67" s="18">
        <f t="shared" si="4"/>
        <v>34</v>
      </c>
      <c r="AJ67" s="10" t="s">
        <v>156</v>
      </c>
      <c r="AK67" s="6">
        <v>180</v>
      </c>
      <c r="AL67" s="6">
        <v>5.5</v>
      </c>
      <c r="AM67" s="6">
        <v>70</v>
      </c>
      <c r="AN67" s="6">
        <v>4.5</v>
      </c>
      <c r="AO67" s="6">
        <v>157</v>
      </c>
      <c r="AP67" s="6">
        <v>2440</v>
      </c>
      <c r="AQ67" s="6" t="s">
        <v>181</v>
      </c>
      <c r="AR67" s="6" t="s">
        <v>93</v>
      </c>
      <c r="AS67" s="6">
        <v>1986</v>
      </c>
      <c r="AT67" s="4">
        <v>0.27777777777777779</v>
      </c>
      <c r="AU67" s="4">
        <v>0.72222222222222221</v>
      </c>
      <c r="AV67" s="6" t="s">
        <v>150</v>
      </c>
      <c r="AW67" s="6">
        <v>50</v>
      </c>
      <c r="AX67" s="2"/>
      <c r="AY67" s="13">
        <v>19.440000000000001</v>
      </c>
      <c r="AZ67" s="16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</row>
    <row r="68" spans="18:579" x14ac:dyDescent="0.25">
      <c r="R68" s="16"/>
      <c r="AI68" s="18">
        <f t="shared" si="4"/>
        <v>35</v>
      </c>
      <c r="AJ68" s="6" t="s">
        <v>202</v>
      </c>
      <c r="AK68" s="6">
        <v>900</v>
      </c>
      <c r="AL68" s="6">
        <v>61.5</v>
      </c>
      <c r="AM68" s="2">
        <v>1</v>
      </c>
      <c r="AN68" s="6">
        <v>60</v>
      </c>
      <c r="AO68" s="6">
        <v>92</v>
      </c>
      <c r="AP68" s="6">
        <v>21000</v>
      </c>
      <c r="AQ68" s="6" t="s">
        <v>70</v>
      </c>
      <c r="AR68" s="6" t="s">
        <v>70</v>
      </c>
      <c r="AS68" s="2">
        <v>1988</v>
      </c>
      <c r="AT68" s="4">
        <v>0.3</v>
      </c>
      <c r="AU68" s="4">
        <v>0.7</v>
      </c>
      <c r="AV68" s="6" t="s">
        <v>150</v>
      </c>
      <c r="AW68" s="6">
        <v>270</v>
      </c>
      <c r="AX68" s="2">
        <v>0</v>
      </c>
      <c r="AY68" s="13">
        <v>0</v>
      </c>
      <c r="AZ68" s="16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</row>
    <row r="69" spans="18:579" x14ac:dyDescent="0.25">
      <c r="R69" s="16"/>
      <c r="AI69" s="18">
        <f t="shared" si="4"/>
        <v>36</v>
      </c>
      <c r="AJ69" s="30" t="s">
        <v>46</v>
      </c>
      <c r="AK69" s="2">
        <v>3500</v>
      </c>
      <c r="AL69" s="2">
        <v>1</v>
      </c>
      <c r="AM69" s="2">
        <v>250</v>
      </c>
      <c r="AN69" s="2"/>
      <c r="AO69" s="2">
        <v>950</v>
      </c>
      <c r="AP69" s="2">
        <v>6000</v>
      </c>
      <c r="AQ69" s="2" t="s">
        <v>104</v>
      </c>
      <c r="AR69" s="2" t="s">
        <v>105</v>
      </c>
      <c r="AS69" s="2">
        <v>1990</v>
      </c>
      <c r="AT69" s="4">
        <v>0.2857142857142857</v>
      </c>
      <c r="AU69" s="4">
        <v>0.2857142857142857</v>
      </c>
      <c r="AV69" s="2" t="s">
        <v>136</v>
      </c>
      <c r="AW69" s="2">
        <v>1000</v>
      </c>
      <c r="AX69" s="2">
        <v>1500</v>
      </c>
      <c r="AY69" s="13">
        <v>71.430000000000007</v>
      </c>
      <c r="AZ69" s="16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</row>
    <row r="70" spans="18:579" x14ac:dyDescent="0.25">
      <c r="R70" s="16"/>
      <c r="AI70" s="18">
        <f t="shared" si="4"/>
        <v>37</v>
      </c>
      <c r="AJ70" s="10" t="s">
        <v>174</v>
      </c>
      <c r="AK70" s="10">
        <v>1020</v>
      </c>
      <c r="AL70" s="10">
        <v>14.8</v>
      </c>
      <c r="AM70" s="10">
        <v>740</v>
      </c>
      <c r="AN70" s="10">
        <v>40</v>
      </c>
      <c r="AO70" s="10">
        <v>217</v>
      </c>
      <c r="AP70" s="10">
        <v>7920</v>
      </c>
      <c r="AQ70" s="10" t="s">
        <v>70</v>
      </c>
      <c r="AR70" s="10" t="s">
        <v>70</v>
      </c>
      <c r="AS70" s="30">
        <v>1997</v>
      </c>
      <c r="AT70" s="4">
        <v>0.19607843137254902</v>
      </c>
      <c r="AU70" s="4">
        <v>0.52352941176470591</v>
      </c>
      <c r="AV70" s="10" t="s">
        <v>150</v>
      </c>
      <c r="AW70" s="10">
        <v>200</v>
      </c>
      <c r="AX70" s="12">
        <v>286</v>
      </c>
      <c r="AY70" s="13">
        <v>145.1</v>
      </c>
      <c r="AZ70" s="16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</row>
    <row r="71" spans="18:579" x14ac:dyDescent="0.25">
      <c r="R71" s="16"/>
      <c r="AI71" s="18">
        <f t="shared" si="4"/>
        <v>38</v>
      </c>
      <c r="AJ71" s="30" t="s">
        <v>38</v>
      </c>
      <c r="AK71" s="2">
        <v>11600</v>
      </c>
      <c r="AL71" s="2">
        <v>39.9</v>
      </c>
      <c r="AM71" s="2">
        <v>22000</v>
      </c>
      <c r="AN71" s="2">
        <v>32</v>
      </c>
      <c r="AO71" s="2">
        <v>629</v>
      </c>
      <c r="AP71" s="2">
        <v>19800</v>
      </c>
      <c r="AQ71" s="2" t="s">
        <v>68</v>
      </c>
      <c r="AR71" s="2" t="s">
        <v>69</v>
      </c>
      <c r="AS71" s="2">
        <v>1998</v>
      </c>
      <c r="AT71" s="4">
        <v>7.844827586206897E-2</v>
      </c>
      <c r="AU71" s="4">
        <v>0.27500000000000002</v>
      </c>
      <c r="AV71" s="2" t="s">
        <v>127</v>
      </c>
      <c r="AW71" s="2">
        <v>910</v>
      </c>
      <c r="AX71" s="2">
        <v>7500</v>
      </c>
      <c r="AY71" s="13">
        <v>1725.86</v>
      </c>
      <c r="AZ71" s="16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</row>
    <row r="72" spans="18:579" x14ac:dyDescent="0.25">
      <c r="R72" s="16"/>
      <c r="AI72" s="18">
        <f t="shared" si="4"/>
        <v>39</v>
      </c>
      <c r="AJ72" s="30" t="s">
        <v>72</v>
      </c>
      <c r="AK72" s="2">
        <v>550</v>
      </c>
      <c r="AL72" s="2">
        <v>10.5</v>
      </c>
      <c r="AM72" s="2">
        <v>300</v>
      </c>
      <c r="AN72" s="2">
        <v>20</v>
      </c>
      <c r="AO72" s="2">
        <v>176</v>
      </c>
      <c r="AP72" s="2">
        <v>5500</v>
      </c>
      <c r="AQ72" s="2" t="s">
        <v>70</v>
      </c>
      <c r="AR72" s="2" t="s">
        <v>70</v>
      </c>
      <c r="AS72" s="2">
        <v>1998</v>
      </c>
      <c r="AT72" s="4">
        <v>0.32727272727272727</v>
      </c>
      <c r="AU72" s="4">
        <v>0.41818181818181815</v>
      </c>
      <c r="AV72" s="2" t="s">
        <v>128</v>
      </c>
      <c r="AW72" s="2">
        <v>180</v>
      </c>
      <c r="AX72" s="2">
        <v>140</v>
      </c>
      <c r="AY72" s="13">
        <v>98.18</v>
      </c>
      <c r="AZ72" s="16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</row>
    <row r="73" spans="18:579" x14ac:dyDescent="0.25">
      <c r="R73" s="16"/>
      <c r="AI73" s="18">
        <f t="shared" si="4"/>
        <v>40</v>
      </c>
      <c r="AJ73" s="10" t="s">
        <v>175</v>
      </c>
      <c r="AK73" s="10">
        <v>14630</v>
      </c>
      <c r="AL73" s="10">
        <v>39.9</v>
      </c>
      <c r="AM73" s="10">
        <v>5500</v>
      </c>
      <c r="AN73" s="10">
        <v>36</v>
      </c>
      <c r="AO73" s="10">
        <v>637</v>
      </c>
      <c r="AP73" s="10">
        <v>18000</v>
      </c>
      <c r="AQ73" s="10" t="s">
        <v>70</v>
      </c>
      <c r="AR73" s="10" t="s">
        <v>70</v>
      </c>
      <c r="AS73" s="12">
        <v>1998</v>
      </c>
      <c r="AT73" s="4">
        <v>9.2959671907040325E-2</v>
      </c>
      <c r="AU73" s="4">
        <v>0.37067669172932333</v>
      </c>
      <c r="AV73" s="10" t="s">
        <v>150</v>
      </c>
      <c r="AW73" s="10">
        <v>1360</v>
      </c>
      <c r="AX73" s="12">
        <v>7847</v>
      </c>
      <c r="AY73" s="13">
        <v>511.28</v>
      </c>
      <c r="AZ73" s="16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</row>
    <row r="74" spans="18:579" x14ac:dyDescent="0.25">
      <c r="R74" s="16"/>
      <c r="AI74" s="18">
        <f t="shared" si="4"/>
        <v>41</v>
      </c>
      <c r="AJ74" s="30" t="s">
        <v>47</v>
      </c>
      <c r="AK74" s="2">
        <v>330</v>
      </c>
      <c r="AL74" s="2">
        <v>4.2</v>
      </c>
      <c r="AM74" s="2">
        <v>200</v>
      </c>
      <c r="AN74" s="2">
        <v>6</v>
      </c>
      <c r="AO74" s="2">
        <v>167</v>
      </c>
      <c r="AP74" s="2">
        <v>4572</v>
      </c>
      <c r="AQ74" s="2" t="s">
        <v>106</v>
      </c>
      <c r="AR74" s="2" t="s">
        <v>93</v>
      </c>
      <c r="AS74" s="2">
        <v>1999</v>
      </c>
      <c r="AT74" s="4">
        <v>0.15151515151515152</v>
      </c>
      <c r="AU74" s="4">
        <v>0.54545454545454541</v>
      </c>
      <c r="AV74" s="2" t="s">
        <v>137</v>
      </c>
      <c r="AW74" s="2">
        <v>50</v>
      </c>
      <c r="AX74" s="2">
        <v>100</v>
      </c>
      <c r="AY74" s="13">
        <v>30.3</v>
      </c>
      <c r="AZ74" s="16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</row>
    <row r="75" spans="18:579" x14ac:dyDescent="0.25">
      <c r="R75" s="16"/>
      <c r="AI75" s="18">
        <f t="shared" si="4"/>
        <v>42</v>
      </c>
      <c r="AJ75" s="10" t="s">
        <v>160</v>
      </c>
      <c r="AK75" s="10">
        <v>450</v>
      </c>
      <c r="AL75" s="10">
        <v>10.5</v>
      </c>
      <c r="AM75" s="10">
        <v>200</v>
      </c>
      <c r="AN75" s="10">
        <v>24</v>
      </c>
      <c r="AO75" s="10">
        <v>204</v>
      </c>
      <c r="AP75" s="10">
        <v>6100</v>
      </c>
      <c r="AQ75" s="10" t="s">
        <v>70</v>
      </c>
      <c r="AR75" s="10" t="s">
        <v>70</v>
      </c>
      <c r="AS75" s="30">
        <v>2000</v>
      </c>
      <c r="AT75" s="4">
        <v>0.33333333333333331</v>
      </c>
      <c r="AU75" s="4">
        <v>0.43333333333333335</v>
      </c>
      <c r="AV75" s="10" t="s">
        <v>150</v>
      </c>
      <c r="AW75" s="10">
        <v>150</v>
      </c>
      <c r="AX75" s="12">
        <v>105</v>
      </c>
      <c r="AY75" s="13">
        <v>66.67</v>
      </c>
      <c r="AZ75" s="16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</row>
    <row r="76" spans="18:579" x14ac:dyDescent="0.25">
      <c r="R76" s="16"/>
      <c r="AI76" s="18">
        <f t="shared" si="4"/>
        <v>43</v>
      </c>
      <c r="AJ76" s="30" t="s">
        <v>74</v>
      </c>
      <c r="AK76" s="2">
        <v>1150</v>
      </c>
      <c r="AL76" s="2">
        <v>16.600000000000001</v>
      </c>
      <c r="AM76" s="2">
        <v>350</v>
      </c>
      <c r="AN76" s="2">
        <v>45</v>
      </c>
      <c r="AO76" s="2">
        <v>207</v>
      </c>
      <c r="AP76" s="2">
        <v>9000</v>
      </c>
      <c r="AQ76" s="2" t="s">
        <v>70</v>
      </c>
      <c r="AR76" s="2" t="s">
        <v>70</v>
      </c>
      <c r="AS76" s="2">
        <v>2005</v>
      </c>
      <c r="AT76" s="4">
        <v>0.21739130434782608</v>
      </c>
      <c r="AU76" s="4">
        <v>0.47826086956521741</v>
      </c>
      <c r="AV76" s="2" t="s">
        <v>130</v>
      </c>
      <c r="AW76" s="2">
        <v>250</v>
      </c>
      <c r="AX76" s="2">
        <v>350</v>
      </c>
      <c r="AY76" s="13">
        <v>76.09</v>
      </c>
      <c r="AZ76" s="1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</row>
    <row r="77" spans="18:579" x14ac:dyDescent="0.25">
      <c r="R77" s="16"/>
      <c r="AI77" s="18">
        <f t="shared" si="4"/>
        <v>44</v>
      </c>
      <c r="AJ77" s="30" t="s">
        <v>37</v>
      </c>
      <c r="AK77" s="2">
        <v>4760</v>
      </c>
      <c r="AL77" s="2">
        <v>20</v>
      </c>
      <c r="AM77" s="2">
        <v>1850</v>
      </c>
      <c r="AN77" s="2">
        <v>27</v>
      </c>
      <c r="AO77" s="2">
        <v>482</v>
      </c>
      <c r="AP77" s="2">
        <v>15000</v>
      </c>
      <c r="AQ77" s="2" t="s">
        <v>68</v>
      </c>
      <c r="AR77" s="2" t="s">
        <v>69</v>
      </c>
      <c r="AS77" s="2">
        <v>2007</v>
      </c>
      <c r="AT77" s="4">
        <v>0.35714285714285715</v>
      </c>
      <c r="AU77" s="4">
        <v>0.26470588235294118</v>
      </c>
      <c r="AV77" s="32" t="s">
        <v>150</v>
      </c>
      <c r="AW77" s="2">
        <v>1700</v>
      </c>
      <c r="AX77" s="2">
        <v>1800</v>
      </c>
      <c r="AY77" s="13">
        <v>660.71</v>
      </c>
      <c r="AZ77" s="16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</row>
    <row r="78" spans="18:579" x14ac:dyDescent="0.25">
      <c r="R78" s="16"/>
      <c r="AI78" s="18">
        <f t="shared" si="4"/>
        <v>45</v>
      </c>
      <c r="AJ78" s="30" t="s">
        <v>36</v>
      </c>
      <c r="AK78" s="30">
        <v>485</v>
      </c>
      <c r="AL78" s="30">
        <v>10.9</v>
      </c>
      <c r="AM78" s="30">
        <v>200</v>
      </c>
      <c r="AN78" s="30">
        <v>17</v>
      </c>
      <c r="AO78" s="30">
        <v>176</v>
      </c>
      <c r="AP78" s="30">
        <v>4900</v>
      </c>
      <c r="AQ78" s="30" t="s">
        <v>58</v>
      </c>
      <c r="AR78" s="30" t="s">
        <v>67</v>
      </c>
      <c r="AS78" s="30">
        <v>2009</v>
      </c>
      <c r="AT78" s="5">
        <v>0.30927835051546393</v>
      </c>
      <c r="AU78" s="4">
        <v>0.42268041237113402</v>
      </c>
      <c r="AV78" s="2" t="s">
        <v>125</v>
      </c>
      <c r="AW78" s="30">
        <v>150</v>
      </c>
      <c r="AX78" s="12">
        <v>130</v>
      </c>
      <c r="AY78" s="13">
        <v>61.86</v>
      </c>
      <c r="AZ78" s="16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</row>
    <row r="79" spans="18:579" x14ac:dyDescent="0.25">
      <c r="R79" s="16"/>
      <c r="AI79" s="18">
        <f t="shared" si="4"/>
        <v>46</v>
      </c>
      <c r="AJ79" s="30" t="s">
        <v>40</v>
      </c>
      <c r="AK79" s="2">
        <v>8255</v>
      </c>
      <c r="AL79" s="2">
        <v>20</v>
      </c>
      <c r="AM79" s="2">
        <v>1770</v>
      </c>
      <c r="AN79" s="2">
        <v>17.5</v>
      </c>
      <c r="AO79" s="2">
        <v>740</v>
      </c>
      <c r="AP79" s="2">
        <v>15000</v>
      </c>
      <c r="AQ79" s="2" t="s">
        <v>68</v>
      </c>
      <c r="AR79" s="2" t="s">
        <v>69</v>
      </c>
      <c r="AS79" s="2">
        <v>2009</v>
      </c>
      <c r="AT79" s="4">
        <v>0.3571168988491823</v>
      </c>
      <c r="AU79" s="4">
        <v>0.2188976377952756</v>
      </c>
      <c r="AV79" s="2" t="s">
        <v>131</v>
      </c>
      <c r="AW79" s="2">
        <v>2948</v>
      </c>
      <c r="AX79" s="2">
        <v>3500</v>
      </c>
      <c r="AY79" s="13">
        <v>632.1</v>
      </c>
      <c r="AZ79" s="16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</row>
    <row r="80" spans="18:579" ht="60" x14ac:dyDescent="0.25">
      <c r="R80" s="16"/>
      <c r="AI80" s="18">
        <f t="shared" si="4"/>
        <v>47</v>
      </c>
      <c r="AJ80" s="30" t="s">
        <v>43</v>
      </c>
      <c r="AK80" s="2">
        <v>600</v>
      </c>
      <c r="AL80" s="2">
        <v>10</v>
      </c>
      <c r="AM80" s="2">
        <v>2200</v>
      </c>
      <c r="AN80" s="2">
        <v>12</v>
      </c>
      <c r="AO80" s="2">
        <v>200</v>
      </c>
      <c r="AP80" s="2" t="s">
        <v>87</v>
      </c>
      <c r="AQ80" s="3" t="s">
        <v>88</v>
      </c>
      <c r="AR80" s="2" t="s">
        <v>89</v>
      </c>
      <c r="AS80" s="2">
        <v>2010</v>
      </c>
      <c r="AT80" s="4">
        <v>0.16666666666666666</v>
      </c>
      <c r="AU80" s="4">
        <v>0.41666666666666669</v>
      </c>
      <c r="AV80" s="2" t="s">
        <v>131</v>
      </c>
      <c r="AW80" s="2">
        <v>100</v>
      </c>
      <c r="AX80" s="2">
        <v>250</v>
      </c>
      <c r="AY80" s="13">
        <v>366.67</v>
      </c>
      <c r="AZ80" s="16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</row>
    <row r="81" spans="1:579" x14ac:dyDescent="0.25">
      <c r="R81" s="16"/>
      <c r="AI81" s="18">
        <f t="shared" si="4"/>
        <v>48</v>
      </c>
      <c r="AJ81" s="10" t="s">
        <v>159</v>
      </c>
      <c r="AK81" s="6">
        <v>1650</v>
      </c>
      <c r="AL81" s="6">
        <v>18</v>
      </c>
      <c r="AM81" s="6">
        <v>200</v>
      </c>
      <c r="AN81" s="6">
        <v>26</v>
      </c>
      <c r="AO81" s="6">
        <v>240</v>
      </c>
      <c r="AP81" s="6">
        <v>9145</v>
      </c>
      <c r="AQ81" s="6" t="s">
        <v>70</v>
      </c>
      <c r="AR81" s="6" t="s">
        <v>70</v>
      </c>
      <c r="AS81" s="2">
        <v>2010</v>
      </c>
      <c r="AT81" s="4">
        <v>0.21212121212121213</v>
      </c>
      <c r="AU81" s="4">
        <v>0.42424242424242425</v>
      </c>
      <c r="AV81" s="6" t="s">
        <v>150</v>
      </c>
      <c r="AW81" s="6">
        <v>350</v>
      </c>
      <c r="AX81" s="2">
        <v>600</v>
      </c>
      <c r="AY81" s="13">
        <v>42.42</v>
      </c>
      <c r="AZ81" s="16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</row>
    <row r="82" spans="1:579" x14ac:dyDescent="0.25">
      <c r="R82" s="16"/>
      <c r="AI82" s="18">
        <f t="shared" si="4"/>
        <v>49</v>
      </c>
      <c r="AJ82" s="30" t="s">
        <v>44</v>
      </c>
      <c r="AK82" s="2">
        <v>3500</v>
      </c>
      <c r="AL82" s="2">
        <v>22</v>
      </c>
      <c r="AM82" s="2">
        <v>1</v>
      </c>
      <c r="AN82" s="2">
        <v>20</v>
      </c>
      <c r="AO82" s="2">
        <v>650</v>
      </c>
      <c r="AP82" s="2">
        <v>13500</v>
      </c>
      <c r="AQ82" s="2" t="s">
        <v>68</v>
      </c>
      <c r="AR82" s="2" t="s">
        <v>101</v>
      </c>
      <c r="AS82" s="2">
        <v>2018</v>
      </c>
      <c r="AT82" s="4">
        <v>0.22857142857142856</v>
      </c>
      <c r="AU82" s="4">
        <v>0.2</v>
      </c>
      <c r="AV82" s="2" t="s">
        <v>134</v>
      </c>
      <c r="AW82" s="2">
        <v>800</v>
      </c>
      <c r="AX82" s="2">
        <v>2000</v>
      </c>
      <c r="AY82" s="13">
        <v>0</v>
      </c>
      <c r="AZ82" s="16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</row>
    <row r="83" spans="1:579" x14ac:dyDescent="0.25">
      <c r="R83" s="16"/>
      <c r="AI83" s="18">
        <f t="shared" si="4"/>
        <v>50</v>
      </c>
      <c r="AJ83" s="30" t="s">
        <v>39</v>
      </c>
      <c r="AK83" s="2">
        <v>5670</v>
      </c>
      <c r="AL83" s="2">
        <v>1</v>
      </c>
      <c r="AM83" s="2">
        <v>1</v>
      </c>
      <c r="AN83" s="2">
        <v>1</v>
      </c>
      <c r="AO83" s="2">
        <v>1</v>
      </c>
      <c r="AP83" s="2">
        <v>1</v>
      </c>
      <c r="AQ83" s="2" t="s">
        <v>68</v>
      </c>
      <c r="AR83" s="2" t="s">
        <v>101</v>
      </c>
      <c r="AS83" s="2">
        <v>2025</v>
      </c>
      <c r="AT83" s="4">
        <v>0.44409171075837744</v>
      </c>
      <c r="AU83" s="4">
        <v>0.23580246913580247</v>
      </c>
      <c r="AV83" s="2" t="s">
        <v>131</v>
      </c>
      <c r="AW83" s="2">
        <v>2518</v>
      </c>
      <c r="AX83" s="2">
        <v>1815</v>
      </c>
      <c r="AY83" s="13">
        <v>0</v>
      </c>
      <c r="AZ83" s="16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</row>
    <row r="84" spans="1:579" ht="23.25" x14ac:dyDescent="0.25">
      <c r="A84" s="38" t="s">
        <v>31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16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</row>
    <row r="85" spans="1:579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16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</row>
    <row r="86" spans="1:579" x14ac:dyDescent="0.25">
      <c r="A86" s="35" t="s">
        <v>212</v>
      </c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7"/>
      <c r="R86" s="35" t="s">
        <v>213</v>
      </c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7"/>
      <c r="AI86" s="35" t="s">
        <v>214</v>
      </c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1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</row>
    <row r="87" spans="1:579" x14ac:dyDescent="0.25">
      <c r="A87" s="35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7"/>
      <c r="R87" s="35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7"/>
      <c r="AI87" s="35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16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</row>
    <row r="88" spans="1:579" ht="75" x14ac:dyDescent="0.25">
      <c r="A88" s="8" t="s">
        <v>2</v>
      </c>
      <c r="B88" s="9" t="s">
        <v>12</v>
      </c>
      <c r="C88" s="9" t="s">
        <v>4</v>
      </c>
      <c r="D88" s="9" t="s">
        <v>5</v>
      </c>
      <c r="E88" s="9" t="s">
        <v>6</v>
      </c>
      <c r="F88" s="9" t="s">
        <v>7</v>
      </c>
      <c r="G88" s="9" t="s">
        <v>8</v>
      </c>
      <c r="H88" s="9" t="s">
        <v>9</v>
      </c>
      <c r="I88" s="9" t="s">
        <v>10</v>
      </c>
      <c r="J88" s="9" t="s">
        <v>11</v>
      </c>
      <c r="K88" s="9" t="s">
        <v>57</v>
      </c>
      <c r="L88" s="9" t="s">
        <v>110</v>
      </c>
      <c r="M88" s="9" t="s">
        <v>111</v>
      </c>
      <c r="N88" s="9" t="s">
        <v>112</v>
      </c>
      <c r="O88" s="9" t="s">
        <v>211</v>
      </c>
      <c r="P88" s="9" t="s">
        <v>145</v>
      </c>
      <c r="Q88" s="14" t="s">
        <v>210</v>
      </c>
      <c r="R88" s="15" t="s">
        <v>2</v>
      </c>
      <c r="S88" s="9" t="s">
        <v>12</v>
      </c>
      <c r="T88" s="9" t="s">
        <v>4</v>
      </c>
      <c r="U88" s="9" t="s">
        <v>5</v>
      </c>
      <c r="V88" s="9" t="s">
        <v>6</v>
      </c>
      <c r="W88" s="9" t="s">
        <v>7</v>
      </c>
      <c r="X88" s="9" t="s">
        <v>8</v>
      </c>
      <c r="Y88" s="9" t="s">
        <v>9</v>
      </c>
      <c r="Z88" s="9" t="s">
        <v>10</v>
      </c>
      <c r="AA88" s="9" t="s">
        <v>11</v>
      </c>
      <c r="AB88" s="9" t="s">
        <v>57</v>
      </c>
      <c r="AC88" s="9" t="s">
        <v>110</v>
      </c>
      <c r="AD88" s="9" t="s">
        <v>111</v>
      </c>
      <c r="AE88" s="9" t="s">
        <v>112</v>
      </c>
      <c r="AF88" s="9" t="s">
        <v>211</v>
      </c>
      <c r="AG88" s="9" t="s">
        <v>145</v>
      </c>
      <c r="AH88" s="14" t="s">
        <v>210</v>
      </c>
      <c r="AI88" s="15" t="s">
        <v>2</v>
      </c>
      <c r="AJ88" s="9" t="s">
        <v>12</v>
      </c>
      <c r="AK88" s="9" t="s">
        <v>4</v>
      </c>
      <c r="AL88" s="9" t="s">
        <v>5</v>
      </c>
      <c r="AM88" s="9" t="s">
        <v>6</v>
      </c>
      <c r="AN88" s="9" t="s">
        <v>7</v>
      </c>
      <c r="AO88" s="9" t="s">
        <v>8</v>
      </c>
      <c r="AP88" s="9" t="s">
        <v>9</v>
      </c>
      <c r="AQ88" s="9" t="s">
        <v>10</v>
      </c>
      <c r="AR88" s="9" t="s">
        <v>11</v>
      </c>
      <c r="AS88" s="9" t="s">
        <v>57</v>
      </c>
      <c r="AT88" s="9" t="s">
        <v>110</v>
      </c>
      <c r="AU88" s="9" t="s">
        <v>111</v>
      </c>
      <c r="AV88" s="9" t="s">
        <v>112</v>
      </c>
      <c r="AW88" s="9" t="s">
        <v>211</v>
      </c>
      <c r="AX88" s="9" t="s">
        <v>145</v>
      </c>
      <c r="AY88" s="14" t="s">
        <v>210</v>
      </c>
      <c r="AZ88" s="16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</row>
    <row r="89" spans="1:579" x14ac:dyDescent="0.25">
      <c r="A89" s="12">
        <v>1</v>
      </c>
      <c r="B89" s="12" t="s">
        <v>29</v>
      </c>
      <c r="C89" s="2">
        <v>25</v>
      </c>
      <c r="D89" s="2">
        <v>3</v>
      </c>
      <c r="E89" s="2">
        <v>1</v>
      </c>
      <c r="F89" s="29">
        <v>13.5</v>
      </c>
      <c r="G89" s="2">
        <v>140</v>
      </c>
      <c r="H89" s="2">
        <v>1300</v>
      </c>
      <c r="I89" s="12" t="s">
        <v>91</v>
      </c>
      <c r="J89" s="12" t="s">
        <v>91</v>
      </c>
      <c r="K89" s="12">
        <v>2010</v>
      </c>
      <c r="L89" s="5">
        <v>0.32</v>
      </c>
      <c r="M89" s="4">
        <v>0.36</v>
      </c>
      <c r="N89" s="2" t="s">
        <v>139</v>
      </c>
      <c r="O89" s="12">
        <v>8</v>
      </c>
      <c r="P89" s="12">
        <v>8</v>
      </c>
      <c r="Q89" s="13">
        <v>0</v>
      </c>
      <c r="R89" s="18">
        <v>1</v>
      </c>
      <c r="S89" s="12" t="s">
        <v>53</v>
      </c>
      <c r="T89" s="12">
        <v>75</v>
      </c>
      <c r="U89" s="12">
        <v>25</v>
      </c>
      <c r="V89" s="2">
        <v>1000</v>
      </c>
      <c r="W89" s="12">
        <v>336</v>
      </c>
      <c r="X89" s="12">
        <v>84</v>
      </c>
      <c r="Y89" s="12">
        <v>20000</v>
      </c>
      <c r="Z89" s="12" t="s">
        <v>81</v>
      </c>
      <c r="AA89" s="12" t="s">
        <v>89</v>
      </c>
      <c r="AB89" s="12">
        <v>2018</v>
      </c>
      <c r="AC89" s="5">
        <f t="shared" ref="AC89" si="5">AF89/T89</f>
        <v>6.6666666666666666E-2</v>
      </c>
      <c r="AD89" s="4">
        <f t="shared" ref="AD89" si="6">(T89-AF89-AG89)/T89</f>
        <v>0.93333333333333335</v>
      </c>
      <c r="AE89" s="2" t="s">
        <v>142</v>
      </c>
      <c r="AF89" s="12">
        <v>5</v>
      </c>
      <c r="AG89" s="12">
        <v>0</v>
      </c>
      <c r="AH89" s="13">
        <f t="shared" ref="AH89" si="7">IFERROR(ROUND((AF89*V89)/T89,2)," ")</f>
        <v>66.67</v>
      </c>
      <c r="AI89" s="18">
        <v>1</v>
      </c>
      <c r="AJ89" s="12" t="s">
        <v>55</v>
      </c>
      <c r="AK89" s="2">
        <v>7000</v>
      </c>
      <c r="AL89" s="2">
        <v>12</v>
      </c>
      <c r="AM89" s="2">
        <v>1</v>
      </c>
      <c r="AN89" s="2">
        <v>2</v>
      </c>
      <c r="AO89" s="2">
        <v>927</v>
      </c>
      <c r="AP89" s="2">
        <v>1</v>
      </c>
      <c r="AQ89" s="2" t="s">
        <v>70</v>
      </c>
      <c r="AR89" s="2" t="s">
        <v>70</v>
      </c>
      <c r="AS89" s="2">
        <v>2012</v>
      </c>
      <c r="AT89" s="5">
        <f>AW89/AK89</f>
        <v>7.1428571428571425E-2</v>
      </c>
      <c r="AU89" s="4">
        <f>(AK89-AW89-AX89)/AK89</f>
        <v>0.7</v>
      </c>
      <c r="AV89" s="2" t="s">
        <v>144</v>
      </c>
      <c r="AW89" s="12">
        <v>500</v>
      </c>
      <c r="AX89" s="12">
        <v>1600</v>
      </c>
      <c r="AY89" s="13">
        <f>IFERROR(ROUND((AW89*AM89)/AK89,2)," ")</f>
        <v>7.0000000000000007E-2</v>
      </c>
      <c r="AZ89" s="16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</row>
    <row r="90" spans="1:579" x14ac:dyDescent="0.25">
      <c r="A90" s="12">
        <f>A89+1</f>
        <v>2</v>
      </c>
      <c r="B90" s="12" t="s">
        <v>51</v>
      </c>
      <c r="C90" s="2">
        <v>16</v>
      </c>
      <c r="D90" s="2">
        <v>3.1</v>
      </c>
      <c r="E90" s="2">
        <v>110</v>
      </c>
      <c r="F90" s="2">
        <v>16</v>
      </c>
      <c r="G90" s="2">
        <v>150</v>
      </c>
      <c r="H90" s="2">
        <v>5000</v>
      </c>
      <c r="I90" s="12" t="s">
        <v>81</v>
      </c>
      <c r="J90" s="12" t="s">
        <v>93</v>
      </c>
      <c r="K90" s="12">
        <v>2010</v>
      </c>
      <c r="L90" s="5">
        <v>0.34375</v>
      </c>
      <c r="M90" s="4">
        <v>0.40625</v>
      </c>
      <c r="N90" s="2" t="s">
        <v>140</v>
      </c>
      <c r="O90" s="12">
        <v>5.5</v>
      </c>
      <c r="P90" s="12">
        <v>4</v>
      </c>
      <c r="Q90" s="13">
        <v>37.81</v>
      </c>
      <c r="R90" s="16"/>
      <c r="AI90" s="18">
        <f>AI89+1</f>
        <v>2</v>
      </c>
      <c r="AJ90" s="12" t="s">
        <v>56</v>
      </c>
      <c r="AK90" s="2">
        <v>8000</v>
      </c>
      <c r="AL90" s="2">
        <v>9.94</v>
      </c>
      <c r="AM90" s="2">
        <v>1</v>
      </c>
      <c r="AN90" s="2">
        <v>1</v>
      </c>
      <c r="AO90" s="2">
        <v>850</v>
      </c>
      <c r="AP90" s="2">
        <v>1</v>
      </c>
      <c r="AQ90" s="2" t="s">
        <v>70</v>
      </c>
      <c r="AR90" s="2" t="s">
        <v>70</v>
      </c>
      <c r="AS90" s="2">
        <v>2013</v>
      </c>
      <c r="AT90" s="5">
        <f>AW90/AK90</f>
        <v>6.25E-2</v>
      </c>
      <c r="AU90" s="4">
        <f>(AK90-AW90-AX90)/AK90</f>
        <v>0.51249999999999996</v>
      </c>
      <c r="AV90" s="32" t="s">
        <v>150</v>
      </c>
      <c r="AW90" s="12">
        <v>500</v>
      </c>
      <c r="AX90" s="12">
        <v>3400</v>
      </c>
      <c r="AY90" s="13">
        <f>IFERROR(ROUND((AW90*AM90)/AK90,2)," ")</f>
        <v>0.06</v>
      </c>
      <c r="AZ90" s="16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</row>
    <row r="91" spans="1:579" x14ac:dyDescent="0.25">
      <c r="A91" s="30">
        <f t="shared" ref="A91:A94" si="8">A90+1</f>
        <v>3</v>
      </c>
      <c r="B91" s="12" t="s">
        <v>52</v>
      </c>
      <c r="C91" s="2">
        <v>11.5</v>
      </c>
      <c r="D91" s="2">
        <v>3.3</v>
      </c>
      <c r="E91" s="2">
        <v>1</v>
      </c>
      <c r="F91" s="2">
        <v>26.5</v>
      </c>
      <c r="G91" s="2">
        <v>129</v>
      </c>
      <c r="H91" s="2">
        <v>5000</v>
      </c>
      <c r="I91" s="12" t="s">
        <v>76</v>
      </c>
      <c r="J91" s="12" t="s">
        <v>93</v>
      </c>
      <c r="K91" s="12">
        <v>2011</v>
      </c>
      <c r="L91" s="5">
        <v>0.34782608695652173</v>
      </c>
      <c r="M91" s="4">
        <v>0.40869565217391307</v>
      </c>
      <c r="N91" s="2" t="s">
        <v>141</v>
      </c>
      <c r="O91" s="12">
        <v>4</v>
      </c>
      <c r="P91" s="12">
        <v>2.8</v>
      </c>
      <c r="Q91" s="13">
        <v>0</v>
      </c>
      <c r="R91" s="16"/>
      <c r="AI91" s="18">
        <f t="shared" ref="AI91:AI92" si="9">AI90+1</f>
        <v>3</v>
      </c>
      <c r="AJ91" s="12" t="s">
        <v>39</v>
      </c>
      <c r="AK91" s="2">
        <v>5670</v>
      </c>
      <c r="AL91" s="2">
        <v>24</v>
      </c>
      <c r="AM91" s="2">
        <v>1</v>
      </c>
      <c r="AN91" s="2">
        <v>40</v>
      </c>
      <c r="AO91" s="2">
        <v>309</v>
      </c>
      <c r="AP91" s="2">
        <v>7620</v>
      </c>
      <c r="AQ91" s="2" t="s">
        <v>94</v>
      </c>
      <c r="AR91" s="2" t="s">
        <v>95</v>
      </c>
      <c r="AS91" s="2">
        <v>2016</v>
      </c>
      <c r="AT91" s="5">
        <f>AW91/AK91</f>
        <v>0.44409171075837744</v>
      </c>
      <c r="AU91" s="4">
        <f>(AK91-AW91-AX91)/AK91</f>
        <v>0.23580246913580247</v>
      </c>
      <c r="AV91" s="32" t="s">
        <v>150</v>
      </c>
      <c r="AW91" s="12">
        <v>2518</v>
      </c>
      <c r="AX91" s="12">
        <v>1815</v>
      </c>
      <c r="AY91" s="13">
        <f>IFERROR(ROUND((AW91*AM91)/AK91,2)," ")</f>
        <v>0.44</v>
      </c>
      <c r="AZ91" s="16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</row>
    <row r="92" spans="1:579" x14ac:dyDescent="0.25">
      <c r="A92" s="30">
        <f t="shared" si="8"/>
        <v>4</v>
      </c>
      <c r="B92" s="32" t="s">
        <v>153</v>
      </c>
      <c r="C92" s="32">
        <v>15</v>
      </c>
      <c r="D92" s="32">
        <v>4.3</v>
      </c>
      <c r="E92" s="32">
        <v>80</v>
      </c>
      <c r="F92" s="32">
        <v>5</v>
      </c>
      <c r="G92" s="32">
        <v>90</v>
      </c>
      <c r="H92" s="32">
        <v>6000</v>
      </c>
      <c r="I92" s="32" t="s">
        <v>76</v>
      </c>
      <c r="J92" s="32" t="s">
        <v>93</v>
      </c>
      <c r="K92" s="2">
        <v>2013</v>
      </c>
      <c r="L92" s="5">
        <v>0.2</v>
      </c>
      <c r="M92" s="4">
        <v>0.8</v>
      </c>
      <c r="N92" s="32" t="s">
        <v>150</v>
      </c>
      <c r="O92" s="32">
        <v>3</v>
      </c>
      <c r="P92" s="30">
        <v>0</v>
      </c>
      <c r="Q92" s="31">
        <v>16</v>
      </c>
      <c r="R92" s="16"/>
      <c r="AI92" s="18">
        <f t="shared" si="9"/>
        <v>4</v>
      </c>
      <c r="AJ92" s="12" t="s">
        <v>54</v>
      </c>
      <c r="AK92" s="2">
        <v>2950</v>
      </c>
      <c r="AL92" s="2">
        <v>8.1999999999999993</v>
      </c>
      <c r="AM92" s="2">
        <v>5630</v>
      </c>
      <c r="AN92" s="2">
        <v>5</v>
      </c>
      <c r="AO92" s="2">
        <v>1050</v>
      </c>
      <c r="AP92" s="2">
        <v>13700</v>
      </c>
      <c r="AQ92" s="2" t="s">
        <v>96</v>
      </c>
      <c r="AR92" s="2" t="s">
        <v>97</v>
      </c>
      <c r="AS92" s="2">
        <v>2019</v>
      </c>
      <c r="AT92" s="5">
        <f>AW92/AK92</f>
        <v>0.18440677966101696</v>
      </c>
      <c r="AU92" s="4">
        <f>(AK92-AW92-AX92)/AK92</f>
        <v>0.37491525423728811</v>
      </c>
      <c r="AV92" s="2" t="s">
        <v>143</v>
      </c>
      <c r="AW92" s="12">
        <v>544</v>
      </c>
      <c r="AX92" s="12">
        <v>1300</v>
      </c>
      <c r="AY92" s="13">
        <f>IFERROR(ROUND((AW92*AM92)/AK92,2)," ")</f>
        <v>1038.21</v>
      </c>
      <c r="AZ92" s="16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</row>
    <row r="93" spans="1:579" x14ac:dyDescent="0.25">
      <c r="A93" s="30">
        <f t="shared" si="8"/>
        <v>5</v>
      </c>
      <c r="B93" s="10" t="s">
        <v>152</v>
      </c>
      <c r="C93" s="6">
        <v>25</v>
      </c>
      <c r="D93" s="6">
        <v>3.3</v>
      </c>
      <c r="E93" s="6">
        <v>250</v>
      </c>
      <c r="F93" s="6">
        <v>5</v>
      </c>
      <c r="G93" s="6">
        <v>130</v>
      </c>
      <c r="H93" s="6">
        <v>3000</v>
      </c>
      <c r="I93" s="12" t="s">
        <v>70</v>
      </c>
      <c r="J93" s="12" t="s">
        <v>70</v>
      </c>
      <c r="K93" s="2">
        <v>2020</v>
      </c>
      <c r="L93" s="5">
        <v>0.12</v>
      </c>
      <c r="M93" s="4">
        <v>0.88</v>
      </c>
      <c r="N93" s="10" t="s">
        <v>150</v>
      </c>
      <c r="O93" s="10">
        <v>3</v>
      </c>
      <c r="P93" s="12">
        <v>0</v>
      </c>
      <c r="Q93" s="13">
        <v>30</v>
      </c>
      <c r="R93" s="16"/>
      <c r="AI93" s="16"/>
      <c r="AZ93" s="16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</row>
    <row r="94" spans="1:579" ht="15.75" thickBot="1" x14ac:dyDescent="0.3">
      <c r="A94" s="30">
        <f t="shared" si="8"/>
        <v>6</v>
      </c>
      <c r="B94" s="20" t="s">
        <v>30</v>
      </c>
      <c r="C94" s="21">
        <v>12</v>
      </c>
      <c r="D94" s="21">
        <v>3</v>
      </c>
      <c r="E94" s="21">
        <v>200</v>
      </c>
      <c r="F94" s="34" t="s">
        <v>90</v>
      </c>
      <c r="G94" s="21">
        <v>76</v>
      </c>
      <c r="H94" s="21">
        <v>1</v>
      </c>
      <c r="I94" s="20" t="s">
        <v>92</v>
      </c>
      <c r="J94" s="20" t="s">
        <v>91</v>
      </c>
      <c r="K94" s="20">
        <v>2025</v>
      </c>
      <c r="L94" s="22">
        <v>8.3333333333333329E-2</v>
      </c>
      <c r="M94" s="23">
        <v>0.58333333333333337</v>
      </c>
      <c r="N94" s="21" t="s">
        <v>138</v>
      </c>
      <c r="O94" s="20">
        <v>1</v>
      </c>
      <c r="P94" s="20">
        <v>4</v>
      </c>
      <c r="Q94" s="24">
        <v>16.670000000000002</v>
      </c>
      <c r="R94" s="25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5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8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</row>
    <row r="95" spans="1:579" ht="16.5" thickTop="1" thickBot="1" x14ac:dyDescent="0.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</row>
    <row r="96" spans="1:579" s="27" customFormat="1" ht="15.75" thickTop="1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</row>
    <row r="97" spans="1:579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  <c r="UW97"/>
      <c r="UX97"/>
      <c r="UY97"/>
      <c r="UZ97"/>
      <c r="VA97"/>
      <c r="VB97"/>
      <c r="VC97"/>
      <c r="VD97"/>
      <c r="VE97"/>
      <c r="VF97"/>
      <c r="VG97"/>
    </row>
    <row r="98" spans="1:579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  <c r="PV98"/>
      <c r="PW98"/>
      <c r="PX98"/>
      <c r="PY98"/>
      <c r="PZ98"/>
      <c r="QA98"/>
      <c r="QB98"/>
      <c r="QC98"/>
      <c r="QD98"/>
      <c r="QE98"/>
      <c r="QF98"/>
      <c r="QG98"/>
      <c r="QH98"/>
      <c r="QI98"/>
      <c r="QJ98"/>
      <c r="QK98"/>
      <c r="QL98"/>
      <c r="QM98"/>
      <c r="QN98"/>
      <c r="QO98"/>
      <c r="QP98"/>
      <c r="QQ98"/>
      <c r="QR98"/>
      <c r="QS98"/>
      <c r="QT98"/>
      <c r="QU98"/>
      <c r="QV98"/>
      <c r="QW98"/>
      <c r="QX98"/>
      <c r="QY98"/>
      <c r="QZ98"/>
      <c r="RA98"/>
      <c r="RB98"/>
      <c r="RC98"/>
      <c r="RD98"/>
      <c r="RE98"/>
      <c r="RF98"/>
      <c r="RG98"/>
      <c r="RH98"/>
      <c r="RI98"/>
      <c r="RJ98"/>
      <c r="RK98"/>
      <c r="RL98"/>
      <c r="RM98"/>
      <c r="RN98"/>
      <c r="RO98"/>
      <c r="RP98"/>
      <c r="RQ98"/>
      <c r="RR98"/>
      <c r="RS98"/>
      <c r="RT98"/>
      <c r="RU98"/>
      <c r="RV98"/>
      <c r="RW98"/>
      <c r="RX98"/>
      <c r="RY98"/>
      <c r="RZ98"/>
      <c r="SA98"/>
      <c r="SB98"/>
      <c r="SC98"/>
      <c r="SD98"/>
      <c r="SE98"/>
      <c r="SF98"/>
      <c r="SG98"/>
      <c r="SH98"/>
      <c r="SI98"/>
      <c r="SJ98"/>
      <c r="SK98"/>
      <c r="SL98"/>
      <c r="SM98"/>
      <c r="SN98"/>
      <c r="SO98"/>
      <c r="SP98"/>
      <c r="SQ98"/>
      <c r="SR98"/>
      <c r="SS98"/>
      <c r="ST98"/>
      <c r="SU98"/>
      <c r="SV98"/>
      <c r="SW98"/>
      <c r="SX98"/>
      <c r="SY98"/>
      <c r="SZ98"/>
      <c r="TA98"/>
      <c r="TB98"/>
      <c r="TC98"/>
      <c r="TD98"/>
      <c r="TE98"/>
      <c r="TF98"/>
      <c r="TG98"/>
      <c r="TH98"/>
      <c r="TI98"/>
      <c r="TJ98"/>
      <c r="TK98"/>
      <c r="TL98"/>
      <c r="TM98"/>
      <c r="TN98"/>
      <c r="TO98"/>
      <c r="TP98"/>
      <c r="TQ98"/>
      <c r="TR98"/>
      <c r="TS98"/>
      <c r="TT98"/>
      <c r="TU98"/>
      <c r="TV98"/>
      <c r="TW98"/>
      <c r="TX98"/>
      <c r="TY98"/>
      <c r="TZ98"/>
      <c r="UA98"/>
      <c r="UB98"/>
      <c r="UC98"/>
      <c r="UD98"/>
      <c r="UE98"/>
      <c r="UF98"/>
      <c r="UG98"/>
      <c r="UH98"/>
      <c r="UI98"/>
      <c r="UJ98"/>
      <c r="UK98"/>
      <c r="UL98"/>
      <c r="UM98"/>
      <c r="UN98"/>
      <c r="UO98"/>
      <c r="UP98"/>
      <c r="UQ98"/>
      <c r="UR98"/>
      <c r="US98"/>
      <c r="UT98"/>
      <c r="UU98"/>
      <c r="UV98"/>
      <c r="UW98"/>
      <c r="UX98"/>
      <c r="UY98"/>
      <c r="UZ98"/>
      <c r="VA98"/>
      <c r="VB98"/>
      <c r="VC98"/>
      <c r="VD98"/>
      <c r="VE98"/>
      <c r="VF98"/>
      <c r="VG98"/>
    </row>
    <row r="99" spans="1:579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/>
      <c r="SM99"/>
      <c r="SN99"/>
      <c r="SO99"/>
      <c r="SP99"/>
      <c r="SQ99"/>
      <c r="SR99"/>
      <c r="SS99"/>
      <c r="ST99"/>
      <c r="SU99"/>
      <c r="SV99"/>
      <c r="SW99"/>
      <c r="SX99"/>
      <c r="SY99"/>
      <c r="SZ99"/>
      <c r="TA99"/>
      <c r="TB99"/>
      <c r="TC99"/>
      <c r="TD99"/>
      <c r="TE99"/>
      <c r="TF99"/>
      <c r="TG99"/>
      <c r="TH99"/>
      <c r="TI99"/>
      <c r="TJ99"/>
      <c r="TK99"/>
      <c r="TL99"/>
      <c r="TM99"/>
      <c r="TN99"/>
      <c r="TO99"/>
      <c r="TP99"/>
      <c r="TQ99"/>
      <c r="TR99"/>
      <c r="TS99"/>
      <c r="TT99"/>
      <c r="TU99"/>
      <c r="TV99"/>
      <c r="TW99"/>
      <c r="TX99"/>
      <c r="TY99"/>
      <c r="TZ99"/>
      <c r="UA99"/>
      <c r="UB99"/>
      <c r="UC99"/>
      <c r="UD99"/>
      <c r="UE99"/>
      <c r="UF99"/>
      <c r="UG99"/>
      <c r="UH99"/>
      <c r="UI99"/>
      <c r="UJ99"/>
      <c r="UK99"/>
      <c r="UL99"/>
      <c r="UM99"/>
      <c r="UN99"/>
      <c r="UO99"/>
      <c r="UP99"/>
      <c r="UQ99"/>
      <c r="UR99"/>
      <c r="US99"/>
      <c r="UT99"/>
      <c r="UU99"/>
      <c r="UV99"/>
      <c r="UW99"/>
      <c r="UX99"/>
      <c r="UY99"/>
      <c r="UZ99"/>
      <c r="VA99"/>
      <c r="VB99"/>
      <c r="VC99"/>
      <c r="VD99"/>
      <c r="VE99"/>
      <c r="VF99"/>
      <c r="VG99"/>
    </row>
    <row r="100" spans="1:579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/>
      <c r="SM100"/>
      <c r="SN100"/>
      <c r="SO100"/>
      <c r="SP100"/>
      <c r="SQ100"/>
      <c r="SR100"/>
      <c r="SS100"/>
      <c r="ST100"/>
      <c r="SU100"/>
      <c r="SV100"/>
      <c r="SW100"/>
      <c r="SX100"/>
      <c r="SY100"/>
      <c r="SZ100"/>
      <c r="TA100"/>
      <c r="TB100"/>
      <c r="TC100"/>
      <c r="TD100"/>
      <c r="TE100"/>
      <c r="TF100"/>
      <c r="TG100"/>
      <c r="TH100"/>
      <c r="TI100"/>
      <c r="TJ100"/>
      <c r="TK100"/>
      <c r="TL100"/>
      <c r="TM100"/>
      <c r="TN100"/>
      <c r="TO100"/>
      <c r="TP100"/>
      <c r="TQ100"/>
      <c r="TR100"/>
      <c r="TS100"/>
      <c r="TT100"/>
      <c r="TU100"/>
      <c r="TV100"/>
      <c r="TW100"/>
      <c r="TX100"/>
      <c r="TY100"/>
      <c r="TZ100"/>
      <c r="UA100"/>
      <c r="UB100"/>
      <c r="UC100"/>
      <c r="UD100"/>
      <c r="UE100"/>
      <c r="UF100"/>
      <c r="UG100"/>
      <c r="UH100"/>
      <c r="UI100"/>
      <c r="UJ100"/>
      <c r="UK100"/>
      <c r="UL100"/>
      <c r="UM100"/>
      <c r="UN100"/>
      <c r="UO100"/>
      <c r="UP100"/>
      <c r="UQ100"/>
      <c r="UR100"/>
      <c r="US100"/>
      <c r="UT100"/>
      <c r="UU100"/>
      <c r="UV100"/>
      <c r="UW100"/>
      <c r="UX100"/>
      <c r="UY100"/>
      <c r="UZ100"/>
      <c r="VA100"/>
      <c r="VB100"/>
      <c r="VC100"/>
      <c r="VD100"/>
      <c r="VE100"/>
      <c r="VF100"/>
      <c r="VG100"/>
    </row>
    <row r="101" spans="1:579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/>
      <c r="SM101"/>
      <c r="SN101"/>
      <c r="SO101"/>
      <c r="SP101"/>
      <c r="SQ101"/>
      <c r="SR101"/>
      <c r="SS101"/>
      <c r="ST101"/>
      <c r="SU101"/>
      <c r="SV101"/>
      <c r="SW101"/>
      <c r="SX101"/>
      <c r="SY101"/>
      <c r="SZ101"/>
      <c r="TA101"/>
      <c r="TB101"/>
      <c r="TC101"/>
      <c r="TD101"/>
      <c r="TE101"/>
      <c r="TF101"/>
      <c r="TG101"/>
      <c r="TH101"/>
      <c r="TI101"/>
      <c r="TJ101"/>
      <c r="TK101"/>
      <c r="TL101"/>
      <c r="TM101"/>
      <c r="TN101"/>
      <c r="TO101"/>
      <c r="TP101"/>
      <c r="TQ101"/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/>
      <c r="UK101"/>
      <c r="UL101"/>
      <c r="UM101"/>
      <c r="UN101"/>
      <c r="UO101"/>
      <c r="UP101"/>
      <c r="UQ101"/>
      <c r="UR101"/>
      <c r="US101"/>
      <c r="UT101"/>
      <c r="UU101"/>
      <c r="UV101"/>
      <c r="UW101"/>
      <c r="UX101"/>
      <c r="UY101"/>
      <c r="UZ101"/>
      <c r="VA101"/>
      <c r="VB101"/>
      <c r="VC101"/>
      <c r="VD101"/>
      <c r="VE101"/>
      <c r="VF101"/>
      <c r="VG101"/>
    </row>
    <row r="102" spans="1:579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</row>
    <row r="103" spans="1:579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</row>
    <row r="104" spans="1:579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</row>
    <row r="105" spans="1:579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</row>
    <row r="106" spans="1:579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</row>
    <row r="107" spans="1:579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</row>
    <row r="108" spans="1:579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</row>
    <row r="109" spans="1:579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</row>
    <row r="110" spans="1:579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/>
      <c r="QT110"/>
      <c r="QU110"/>
      <c r="QV110"/>
      <c r="QW110"/>
      <c r="QX110"/>
      <c r="QY110"/>
      <c r="QZ110"/>
      <c r="RA110"/>
      <c r="RB110"/>
      <c r="RC110"/>
      <c r="RD110"/>
      <c r="RE110"/>
      <c r="RF110"/>
      <c r="RG110"/>
      <c r="RH110"/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/>
      <c r="RY110"/>
      <c r="RZ110"/>
      <c r="SA110"/>
      <c r="SB110"/>
      <c r="SC110"/>
      <c r="SD110"/>
      <c r="SE110"/>
      <c r="SF110"/>
      <c r="SG110"/>
      <c r="SH110"/>
      <c r="SI110"/>
      <c r="SJ110"/>
      <c r="SK110"/>
      <c r="SL110"/>
      <c r="SM110"/>
      <c r="SN110"/>
      <c r="SO110"/>
      <c r="SP110"/>
      <c r="SQ110"/>
      <c r="SR110"/>
      <c r="SS110"/>
      <c r="ST110"/>
      <c r="SU110"/>
      <c r="SV110"/>
      <c r="SW110"/>
      <c r="SX110"/>
      <c r="SY110"/>
      <c r="SZ110"/>
      <c r="TA110"/>
      <c r="TB110"/>
      <c r="TC110"/>
      <c r="TD110"/>
      <c r="TE110"/>
      <c r="TF110"/>
      <c r="TG110"/>
      <c r="TH110"/>
      <c r="TI110"/>
      <c r="TJ110"/>
      <c r="TK110"/>
      <c r="TL110"/>
      <c r="TM110"/>
      <c r="TN110"/>
      <c r="TO110"/>
      <c r="TP110"/>
      <c r="TQ110"/>
      <c r="TR110"/>
      <c r="TS110"/>
      <c r="TT110"/>
      <c r="TU110"/>
      <c r="TV110"/>
      <c r="TW110"/>
      <c r="TX110"/>
      <c r="TY110"/>
      <c r="TZ110"/>
      <c r="UA110"/>
      <c r="UB110"/>
      <c r="UC110"/>
      <c r="UD110"/>
      <c r="UE110"/>
      <c r="UF110"/>
      <c r="UG110"/>
      <c r="UH110"/>
      <c r="UI110"/>
      <c r="UJ110"/>
      <c r="UK110"/>
      <c r="UL110"/>
      <c r="UM110"/>
      <c r="UN110"/>
      <c r="UO110"/>
      <c r="UP110"/>
      <c r="UQ110"/>
      <c r="UR110"/>
      <c r="US110"/>
      <c r="UT110"/>
      <c r="UU110"/>
      <c r="UV110"/>
      <c r="UW110"/>
      <c r="UX110"/>
      <c r="UY110"/>
      <c r="UZ110"/>
      <c r="VA110"/>
      <c r="VB110"/>
      <c r="VC110"/>
      <c r="VD110"/>
      <c r="VE110"/>
      <c r="VF110"/>
      <c r="VG110"/>
    </row>
    <row r="111" spans="1:579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</row>
    <row r="112" spans="1:579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/>
      <c r="RZ112"/>
      <c r="SA112"/>
      <c r="SB112"/>
      <c r="SC112"/>
      <c r="SD112"/>
      <c r="SE112"/>
      <c r="SF112"/>
      <c r="SG112"/>
      <c r="SH112"/>
      <c r="SI112"/>
      <c r="SJ112"/>
      <c r="SK112"/>
      <c r="SL112"/>
      <c r="SM112"/>
      <c r="SN112"/>
      <c r="SO112"/>
      <c r="SP112"/>
      <c r="SQ112"/>
      <c r="SR112"/>
      <c r="SS112"/>
      <c r="ST112"/>
      <c r="SU112"/>
      <c r="SV112"/>
      <c r="SW112"/>
      <c r="SX112"/>
      <c r="SY112"/>
      <c r="SZ112"/>
      <c r="TA112"/>
      <c r="TB112"/>
      <c r="TC112"/>
      <c r="TD112"/>
      <c r="TE112"/>
      <c r="TF112"/>
      <c r="TG112"/>
      <c r="TH112"/>
      <c r="TI112"/>
      <c r="TJ112"/>
      <c r="TK112"/>
      <c r="TL112"/>
      <c r="TM112"/>
      <c r="TN112"/>
      <c r="TO112"/>
      <c r="TP112"/>
      <c r="TQ112"/>
      <c r="TR112"/>
      <c r="TS112"/>
      <c r="TT112"/>
      <c r="TU112"/>
      <c r="TV112"/>
      <c r="TW112"/>
      <c r="TX112"/>
      <c r="TY112"/>
      <c r="TZ112"/>
      <c r="UA112"/>
      <c r="UB112"/>
      <c r="UC112"/>
      <c r="UD112"/>
      <c r="UE112"/>
      <c r="UF112"/>
      <c r="UG112"/>
      <c r="UH112"/>
      <c r="UI112"/>
      <c r="UJ112"/>
      <c r="UK112"/>
      <c r="UL112"/>
      <c r="UM112"/>
      <c r="UN112"/>
      <c r="UO112"/>
      <c r="UP112"/>
      <c r="UQ112"/>
      <c r="UR112"/>
      <c r="US112"/>
      <c r="UT112"/>
      <c r="UU112"/>
      <c r="UV112"/>
      <c r="UW112"/>
      <c r="UX112"/>
      <c r="UY112"/>
      <c r="UZ112"/>
      <c r="VA112"/>
      <c r="VB112"/>
      <c r="VC112"/>
      <c r="VD112"/>
      <c r="VE112"/>
      <c r="VF112"/>
      <c r="VG112"/>
    </row>
    <row r="113" spans="1:579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/>
      <c r="UK113"/>
      <c r="UL113"/>
      <c r="UM113"/>
      <c r="UN113"/>
      <c r="UO113"/>
      <c r="UP113"/>
      <c r="UQ113"/>
      <c r="UR113"/>
      <c r="US113"/>
      <c r="UT113"/>
      <c r="UU113"/>
      <c r="UV113"/>
      <c r="UW113"/>
      <c r="UX113"/>
      <c r="UY113"/>
      <c r="UZ113"/>
      <c r="VA113"/>
      <c r="VB113"/>
      <c r="VC113"/>
      <c r="VD113"/>
      <c r="VE113"/>
      <c r="VF113"/>
      <c r="VG113"/>
    </row>
    <row r="114" spans="1:579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  <c r="PV114"/>
      <c r="PW114"/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/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/>
      <c r="RZ114"/>
      <c r="SA114"/>
      <c r="SB114"/>
      <c r="SC114"/>
      <c r="SD114"/>
      <c r="SE114"/>
      <c r="SF114"/>
      <c r="SG114"/>
      <c r="SH114"/>
      <c r="SI114"/>
      <c r="SJ114"/>
      <c r="SK114"/>
      <c r="SL114"/>
      <c r="SM114"/>
      <c r="SN114"/>
      <c r="SO114"/>
      <c r="SP114"/>
      <c r="SQ114"/>
      <c r="SR114"/>
      <c r="SS114"/>
      <c r="ST114"/>
      <c r="SU114"/>
      <c r="SV114"/>
      <c r="SW114"/>
      <c r="SX114"/>
      <c r="SY114"/>
      <c r="SZ114"/>
      <c r="TA114"/>
      <c r="TB114"/>
      <c r="TC114"/>
      <c r="TD114"/>
      <c r="TE114"/>
      <c r="TF114"/>
      <c r="TG114"/>
      <c r="TH114"/>
      <c r="TI114"/>
      <c r="TJ114"/>
      <c r="TK114"/>
      <c r="TL114"/>
      <c r="TM114"/>
      <c r="TN114"/>
      <c r="TO114"/>
      <c r="TP114"/>
      <c r="TQ114"/>
      <c r="TR114"/>
      <c r="TS114"/>
      <c r="TT114"/>
      <c r="TU114"/>
      <c r="TV114"/>
      <c r="TW114"/>
      <c r="TX114"/>
      <c r="TY114"/>
      <c r="TZ114"/>
      <c r="UA114"/>
      <c r="UB114"/>
      <c r="UC114"/>
      <c r="UD114"/>
      <c r="UE114"/>
      <c r="UF114"/>
      <c r="UG114"/>
      <c r="UH114"/>
      <c r="UI114"/>
      <c r="UJ114"/>
      <c r="UK114"/>
      <c r="UL114"/>
      <c r="UM114"/>
      <c r="UN114"/>
      <c r="UO114"/>
      <c r="UP114"/>
      <c r="UQ114"/>
      <c r="UR114"/>
      <c r="US114"/>
      <c r="UT114"/>
      <c r="UU114"/>
      <c r="UV114"/>
      <c r="UW114"/>
      <c r="UX114"/>
      <c r="UY114"/>
      <c r="UZ114"/>
      <c r="VA114"/>
      <c r="VB114"/>
      <c r="VC114"/>
      <c r="VD114"/>
      <c r="VE114"/>
      <c r="VF114"/>
      <c r="VG114"/>
    </row>
    <row r="115" spans="1:579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</row>
    <row r="116" spans="1:579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/>
      <c r="UK116"/>
      <c r="UL116"/>
      <c r="UM116"/>
      <c r="UN116"/>
      <c r="UO116"/>
      <c r="UP116"/>
      <c r="UQ116"/>
      <c r="UR116"/>
      <c r="US116"/>
      <c r="UT116"/>
      <c r="UU116"/>
      <c r="UV116"/>
      <c r="UW116"/>
      <c r="UX116"/>
      <c r="UY116"/>
      <c r="UZ116"/>
      <c r="VA116"/>
      <c r="VB116"/>
      <c r="VC116"/>
      <c r="VD116"/>
      <c r="VE116"/>
      <c r="VF116"/>
      <c r="VG116"/>
    </row>
    <row r="117" spans="1:579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/>
      <c r="RZ117"/>
      <c r="SA117"/>
      <c r="SB117"/>
      <c r="SC117"/>
      <c r="SD117"/>
      <c r="SE117"/>
      <c r="SF117"/>
      <c r="SG117"/>
      <c r="SH117"/>
      <c r="SI117"/>
      <c r="SJ117"/>
      <c r="SK117"/>
      <c r="SL117"/>
      <c r="SM117"/>
      <c r="SN117"/>
      <c r="SO117"/>
      <c r="SP117"/>
      <c r="SQ117"/>
      <c r="SR117"/>
      <c r="SS117"/>
      <c r="ST117"/>
      <c r="SU117"/>
      <c r="SV117"/>
      <c r="SW117"/>
      <c r="SX117"/>
      <c r="SY117"/>
      <c r="SZ117"/>
      <c r="TA117"/>
      <c r="TB117"/>
      <c r="TC117"/>
      <c r="TD117"/>
      <c r="TE117"/>
      <c r="TF117"/>
      <c r="TG117"/>
      <c r="TH117"/>
      <c r="TI117"/>
      <c r="TJ117"/>
      <c r="TK117"/>
      <c r="TL117"/>
      <c r="TM117"/>
      <c r="TN117"/>
      <c r="TO117"/>
      <c r="TP117"/>
      <c r="TQ117"/>
      <c r="TR117"/>
      <c r="TS117"/>
      <c r="TT117"/>
      <c r="TU117"/>
      <c r="TV117"/>
      <c r="TW117"/>
      <c r="TX117"/>
      <c r="TY117"/>
      <c r="TZ117"/>
      <c r="UA117"/>
      <c r="UB117"/>
      <c r="UC117"/>
      <c r="UD117"/>
      <c r="UE117"/>
      <c r="UF117"/>
      <c r="UG117"/>
      <c r="UH117"/>
      <c r="UI117"/>
      <c r="UJ117"/>
      <c r="UK117"/>
      <c r="UL117"/>
      <c r="UM117"/>
      <c r="UN117"/>
      <c r="UO117"/>
      <c r="UP117"/>
      <c r="UQ117"/>
      <c r="UR117"/>
      <c r="US117"/>
      <c r="UT117"/>
      <c r="UU117"/>
      <c r="UV117"/>
      <c r="UW117"/>
      <c r="UX117"/>
      <c r="UY117"/>
      <c r="UZ117"/>
      <c r="VA117"/>
      <c r="VB117"/>
      <c r="VC117"/>
      <c r="VD117"/>
      <c r="VE117"/>
      <c r="VF117"/>
      <c r="VG117"/>
    </row>
    <row r="118" spans="1:579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</row>
    <row r="119" spans="1:579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/>
      <c r="SM119"/>
      <c r="SN119"/>
      <c r="SO119"/>
      <c r="SP119"/>
      <c r="SQ119"/>
      <c r="SR119"/>
      <c r="SS119"/>
      <c r="ST119"/>
      <c r="SU119"/>
      <c r="SV119"/>
      <c r="SW119"/>
      <c r="SX119"/>
      <c r="SY119"/>
      <c r="SZ119"/>
      <c r="TA119"/>
      <c r="TB119"/>
      <c r="TC119"/>
      <c r="TD119"/>
      <c r="TE119"/>
      <c r="TF119"/>
      <c r="TG119"/>
      <c r="TH119"/>
      <c r="TI119"/>
      <c r="TJ119"/>
      <c r="TK119"/>
      <c r="TL119"/>
      <c r="TM119"/>
      <c r="TN119"/>
      <c r="TO119"/>
      <c r="TP119"/>
      <c r="TQ119"/>
      <c r="TR119"/>
      <c r="TS119"/>
      <c r="TT119"/>
      <c r="TU119"/>
      <c r="TV119"/>
      <c r="TW119"/>
      <c r="TX119"/>
      <c r="TY119"/>
      <c r="TZ119"/>
      <c r="UA119"/>
      <c r="UB119"/>
      <c r="UC119"/>
      <c r="UD119"/>
      <c r="UE119"/>
      <c r="UF119"/>
      <c r="UG119"/>
      <c r="UH119"/>
      <c r="UI119"/>
      <c r="UJ119"/>
      <c r="UK119"/>
      <c r="UL119"/>
      <c r="UM119"/>
      <c r="UN119"/>
      <c r="UO119"/>
      <c r="UP119"/>
      <c r="UQ119"/>
      <c r="UR119"/>
      <c r="US119"/>
      <c r="UT119"/>
      <c r="UU119"/>
      <c r="UV119"/>
      <c r="UW119"/>
      <c r="UX119"/>
      <c r="UY119"/>
      <c r="UZ119"/>
      <c r="VA119"/>
      <c r="VB119"/>
      <c r="VC119"/>
      <c r="VD119"/>
      <c r="VE119"/>
      <c r="VF119"/>
      <c r="VG119"/>
    </row>
    <row r="120" spans="1:579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/>
      <c r="SM120"/>
      <c r="SN120"/>
      <c r="SO120"/>
      <c r="SP120"/>
      <c r="SQ120"/>
      <c r="SR120"/>
      <c r="SS120"/>
      <c r="ST120"/>
      <c r="SU120"/>
      <c r="SV120"/>
      <c r="SW120"/>
      <c r="SX120"/>
      <c r="SY120"/>
      <c r="SZ120"/>
      <c r="TA120"/>
      <c r="TB120"/>
      <c r="TC120"/>
      <c r="TD120"/>
      <c r="TE120"/>
      <c r="TF120"/>
      <c r="TG120"/>
      <c r="TH120"/>
      <c r="TI120"/>
      <c r="TJ120"/>
      <c r="TK120"/>
      <c r="TL120"/>
      <c r="TM120"/>
      <c r="TN120"/>
      <c r="TO120"/>
      <c r="TP120"/>
      <c r="TQ120"/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/>
      <c r="UK120"/>
      <c r="UL120"/>
      <c r="UM120"/>
      <c r="UN120"/>
      <c r="UO120"/>
      <c r="UP120"/>
      <c r="UQ120"/>
      <c r="UR120"/>
      <c r="US120"/>
      <c r="UT120"/>
      <c r="UU120"/>
      <c r="UV120"/>
      <c r="UW120"/>
      <c r="UX120"/>
      <c r="UY120"/>
      <c r="UZ120"/>
      <c r="VA120"/>
      <c r="VB120"/>
      <c r="VC120"/>
      <c r="VD120"/>
      <c r="VE120"/>
      <c r="VF120"/>
      <c r="VG120"/>
    </row>
    <row r="121" spans="1:579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/>
      <c r="TA121"/>
      <c r="TB121"/>
      <c r="TC121"/>
      <c r="TD121"/>
      <c r="TE121"/>
      <c r="TF121"/>
      <c r="TG121"/>
      <c r="TH121"/>
      <c r="TI121"/>
      <c r="TJ121"/>
      <c r="TK121"/>
      <c r="TL121"/>
      <c r="TM121"/>
      <c r="TN121"/>
      <c r="TO121"/>
      <c r="TP121"/>
      <c r="TQ121"/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/>
      <c r="UK121"/>
      <c r="UL121"/>
      <c r="UM121"/>
      <c r="UN121"/>
      <c r="UO121"/>
      <c r="UP121"/>
      <c r="UQ121"/>
      <c r="UR121"/>
      <c r="US121"/>
      <c r="UT121"/>
      <c r="UU121"/>
      <c r="UV121"/>
      <c r="UW121"/>
      <c r="UX121"/>
      <c r="UY121"/>
      <c r="UZ121"/>
      <c r="VA121"/>
      <c r="VB121"/>
      <c r="VC121"/>
      <c r="VD121"/>
      <c r="VE121"/>
      <c r="VF121"/>
      <c r="VG121"/>
    </row>
    <row r="122" spans="1:579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/>
      <c r="QT122"/>
      <c r="QU122"/>
      <c r="QV122"/>
      <c r="QW122"/>
      <c r="QX122"/>
      <c r="QY122"/>
      <c r="QZ122"/>
      <c r="RA122"/>
      <c r="RB122"/>
      <c r="RC122"/>
      <c r="RD122"/>
      <c r="RE122"/>
      <c r="RF122"/>
      <c r="RG122"/>
      <c r="RH122"/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/>
      <c r="RY122"/>
      <c r="RZ122"/>
      <c r="SA122"/>
      <c r="SB122"/>
      <c r="SC122"/>
      <c r="SD122"/>
      <c r="SE122"/>
      <c r="SF122"/>
      <c r="SG122"/>
      <c r="SH122"/>
      <c r="SI122"/>
      <c r="SJ122"/>
      <c r="SK122"/>
      <c r="SL122"/>
      <c r="SM122"/>
      <c r="SN122"/>
      <c r="SO122"/>
      <c r="SP122"/>
      <c r="SQ122"/>
      <c r="SR122"/>
      <c r="SS122"/>
      <c r="ST122"/>
      <c r="SU122"/>
      <c r="SV122"/>
      <c r="SW122"/>
      <c r="SX122"/>
      <c r="SY122"/>
      <c r="SZ122"/>
      <c r="TA122"/>
      <c r="TB122"/>
      <c r="TC122"/>
      <c r="TD122"/>
      <c r="TE122"/>
      <c r="TF122"/>
      <c r="TG122"/>
      <c r="TH122"/>
      <c r="TI122"/>
      <c r="TJ122"/>
      <c r="TK122"/>
      <c r="TL122"/>
      <c r="TM122"/>
      <c r="TN122"/>
      <c r="TO122"/>
      <c r="TP122"/>
      <c r="TQ122"/>
      <c r="TR122"/>
      <c r="TS122"/>
      <c r="TT122"/>
      <c r="TU122"/>
      <c r="TV122"/>
      <c r="TW122"/>
      <c r="TX122"/>
      <c r="TY122"/>
      <c r="TZ122"/>
      <c r="UA122"/>
      <c r="UB122"/>
      <c r="UC122"/>
      <c r="UD122"/>
      <c r="UE122"/>
      <c r="UF122"/>
      <c r="UG122"/>
      <c r="UH122"/>
      <c r="UI122"/>
      <c r="UJ122"/>
      <c r="UK122"/>
      <c r="UL122"/>
      <c r="UM122"/>
      <c r="UN122"/>
      <c r="UO122"/>
      <c r="UP122"/>
      <c r="UQ122"/>
      <c r="UR122"/>
      <c r="US122"/>
      <c r="UT122"/>
      <c r="UU122"/>
      <c r="UV122"/>
      <c r="UW122"/>
      <c r="UX122"/>
      <c r="UY122"/>
      <c r="UZ122"/>
      <c r="VA122"/>
      <c r="VB122"/>
      <c r="VC122"/>
      <c r="VD122"/>
      <c r="VE122"/>
      <c r="VF122"/>
      <c r="VG122"/>
    </row>
    <row r="123" spans="1:579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  <c r="PV123"/>
      <c r="PW123"/>
      <c r="PX123"/>
      <c r="PY123"/>
      <c r="PZ123"/>
      <c r="QA123"/>
      <c r="QB123"/>
      <c r="QC123"/>
      <c r="QD123"/>
      <c r="QE123"/>
      <c r="QF123"/>
      <c r="QG123"/>
      <c r="QH123"/>
      <c r="QI123"/>
      <c r="QJ123"/>
      <c r="QK123"/>
      <c r="QL123"/>
      <c r="QM123"/>
      <c r="QN123"/>
      <c r="QO123"/>
      <c r="QP123"/>
      <c r="QQ123"/>
      <c r="QR123"/>
      <c r="QS123"/>
      <c r="QT123"/>
      <c r="QU123"/>
      <c r="QV123"/>
      <c r="QW123"/>
      <c r="QX123"/>
      <c r="QY123"/>
      <c r="QZ123"/>
      <c r="RA123"/>
      <c r="RB123"/>
      <c r="RC123"/>
      <c r="RD123"/>
      <c r="RE123"/>
      <c r="RF123"/>
      <c r="RG123"/>
      <c r="RH123"/>
      <c r="RI123"/>
      <c r="RJ123"/>
      <c r="RK123"/>
      <c r="RL123"/>
      <c r="RM123"/>
      <c r="RN123"/>
      <c r="RO123"/>
      <c r="RP123"/>
      <c r="RQ123"/>
      <c r="RR123"/>
      <c r="RS123"/>
      <c r="RT123"/>
      <c r="RU123"/>
      <c r="RV123"/>
      <c r="RW123"/>
      <c r="RX123"/>
      <c r="RY123"/>
      <c r="RZ123"/>
      <c r="SA123"/>
      <c r="SB123"/>
      <c r="SC123"/>
      <c r="SD123"/>
      <c r="SE123"/>
      <c r="SF123"/>
      <c r="SG123"/>
      <c r="SH123"/>
      <c r="SI123"/>
      <c r="SJ123"/>
      <c r="SK123"/>
      <c r="SL123"/>
      <c r="SM123"/>
      <c r="SN123"/>
      <c r="SO123"/>
      <c r="SP123"/>
      <c r="SQ123"/>
      <c r="SR123"/>
      <c r="SS123"/>
      <c r="ST123"/>
      <c r="SU123"/>
      <c r="SV123"/>
      <c r="SW123"/>
      <c r="SX123"/>
      <c r="SY123"/>
      <c r="SZ123"/>
      <c r="TA123"/>
      <c r="TB123"/>
      <c r="TC123"/>
      <c r="TD123"/>
      <c r="TE123"/>
      <c r="TF123"/>
      <c r="TG123"/>
      <c r="TH123"/>
      <c r="TI123"/>
      <c r="TJ123"/>
      <c r="TK123"/>
      <c r="TL123"/>
      <c r="TM123"/>
      <c r="TN123"/>
      <c r="TO123"/>
      <c r="TP123"/>
      <c r="TQ123"/>
      <c r="TR123"/>
      <c r="TS123"/>
      <c r="TT123"/>
      <c r="TU123"/>
      <c r="TV123"/>
      <c r="TW123"/>
      <c r="TX123"/>
      <c r="TY123"/>
      <c r="TZ123"/>
      <c r="UA123"/>
      <c r="UB123"/>
      <c r="UC123"/>
      <c r="UD123"/>
      <c r="UE123"/>
      <c r="UF123"/>
      <c r="UG123"/>
      <c r="UH123"/>
      <c r="UI123"/>
      <c r="UJ123"/>
      <c r="UK123"/>
      <c r="UL123"/>
      <c r="UM123"/>
      <c r="UN123"/>
      <c r="UO123"/>
      <c r="UP123"/>
      <c r="UQ123"/>
      <c r="UR123"/>
      <c r="US123"/>
      <c r="UT123"/>
      <c r="UU123"/>
      <c r="UV123"/>
      <c r="UW123"/>
      <c r="UX123"/>
      <c r="UY123"/>
      <c r="UZ123"/>
      <c r="VA123"/>
      <c r="VB123"/>
      <c r="VC123"/>
      <c r="VD123"/>
      <c r="VE123"/>
      <c r="VF123"/>
      <c r="VG123"/>
    </row>
    <row r="124" spans="1:579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  <c r="PV124"/>
      <c r="PW124"/>
      <c r="PX124"/>
      <c r="PY124"/>
      <c r="PZ124"/>
      <c r="QA124"/>
      <c r="QB124"/>
      <c r="QC124"/>
      <c r="QD124"/>
      <c r="QE124"/>
      <c r="QF124"/>
      <c r="QG124"/>
      <c r="QH124"/>
      <c r="QI124"/>
      <c r="QJ124"/>
      <c r="QK124"/>
      <c r="QL124"/>
      <c r="QM124"/>
      <c r="QN124"/>
      <c r="QO124"/>
      <c r="QP124"/>
      <c r="QQ124"/>
      <c r="QR124"/>
      <c r="QS124"/>
      <c r="QT124"/>
      <c r="QU124"/>
      <c r="QV124"/>
      <c r="QW124"/>
      <c r="QX124"/>
      <c r="QY124"/>
      <c r="QZ124"/>
      <c r="RA124"/>
      <c r="RB124"/>
      <c r="RC124"/>
      <c r="RD124"/>
      <c r="RE124"/>
      <c r="RF124"/>
      <c r="RG124"/>
      <c r="RH124"/>
      <c r="RI124"/>
      <c r="RJ124"/>
      <c r="RK124"/>
      <c r="RL124"/>
      <c r="RM124"/>
      <c r="RN124"/>
      <c r="RO124"/>
      <c r="RP124"/>
      <c r="RQ124"/>
      <c r="RR124"/>
      <c r="RS124"/>
      <c r="RT124"/>
      <c r="RU124"/>
      <c r="RV124"/>
      <c r="RW124"/>
      <c r="RX124"/>
      <c r="RY124"/>
      <c r="RZ124"/>
      <c r="SA124"/>
      <c r="SB124"/>
      <c r="SC124"/>
      <c r="SD124"/>
      <c r="SE124"/>
      <c r="SF124"/>
      <c r="SG124"/>
      <c r="SH124"/>
      <c r="SI124"/>
      <c r="SJ124"/>
      <c r="SK124"/>
      <c r="SL124"/>
      <c r="SM124"/>
      <c r="SN124"/>
      <c r="SO124"/>
      <c r="SP124"/>
      <c r="SQ124"/>
      <c r="SR124"/>
      <c r="SS124"/>
      <c r="ST124"/>
      <c r="SU124"/>
      <c r="SV124"/>
      <c r="SW124"/>
      <c r="SX124"/>
      <c r="SY124"/>
      <c r="SZ124"/>
      <c r="TA124"/>
      <c r="TB124"/>
      <c r="TC124"/>
      <c r="TD124"/>
      <c r="TE124"/>
      <c r="TF124"/>
      <c r="TG124"/>
      <c r="TH124"/>
      <c r="TI124"/>
      <c r="TJ124"/>
      <c r="TK124"/>
      <c r="TL124"/>
      <c r="TM124"/>
      <c r="TN124"/>
      <c r="TO124"/>
      <c r="TP124"/>
      <c r="TQ124"/>
      <c r="TR124"/>
      <c r="TS124"/>
      <c r="TT124"/>
      <c r="TU124"/>
      <c r="TV124"/>
      <c r="TW124"/>
      <c r="TX124"/>
      <c r="TY124"/>
      <c r="TZ124"/>
      <c r="UA124"/>
      <c r="UB124"/>
      <c r="UC124"/>
      <c r="UD124"/>
      <c r="UE124"/>
      <c r="UF124"/>
      <c r="UG124"/>
      <c r="UH124"/>
      <c r="UI124"/>
      <c r="UJ124"/>
      <c r="UK124"/>
      <c r="UL124"/>
      <c r="UM124"/>
      <c r="UN124"/>
      <c r="UO124"/>
      <c r="UP124"/>
      <c r="UQ124"/>
      <c r="UR124"/>
      <c r="US124"/>
      <c r="UT124"/>
      <c r="UU124"/>
      <c r="UV124"/>
      <c r="UW124"/>
      <c r="UX124"/>
      <c r="UY124"/>
      <c r="UZ124"/>
      <c r="VA124"/>
      <c r="VB124"/>
      <c r="VC124"/>
      <c r="VD124"/>
      <c r="VE124"/>
      <c r="VF124"/>
      <c r="VG124"/>
    </row>
    <row r="125" spans="1:579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  <c r="QR125"/>
      <c r="QS125"/>
      <c r="QT125"/>
      <c r="QU125"/>
      <c r="QV125"/>
      <c r="QW125"/>
      <c r="QX125"/>
      <c r="QY125"/>
      <c r="QZ125"/>
      <c r="RA125"/>
      <c r="RB125"/>
      <c r="RC125"/>
      <c r="RD125"/>
      <c r="RE125"/>
      <c r="RF125"/>
      <c r="RG125"/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/>
      <c r="RW125"/>
      <c r="RX125"/>
      <c r="RY125"/>
      <c r="RZ125"/>
      <c r="SA125"/>
      <c r="SB125"/>
      <c r="SC125"/>
      <c r="SD125"/>
      <c r="SE125"/>
      <c r="SF125"/>
      <c r="SG125"/>
      <c r="SH125"/>
      <c r="SI125"/>
      <c r="SJ125"/>
      <c r="SK125"/>
      <c r="SL125"/>
      <c r="SM125"/>
      <c r="SN125"/>
      <c r="SO125"/>
      <c r="SP125"/>
      <c r="SQ125"/>
      <c r="SR125"/>
      <c r="SS125"/>
      <c r="ST125"/>
      <c r="SU125"/>
      <c r="SV125"/>
      <c r="SW125"/>
      <c r="SX125"/>
      <c r="SY125"/>
      <c r="SZ125"/>
      <c r="TA125"/>
      <c r="TB125"/>
      <c r="TC125"/>
      <c r="TD125"/>
      <c r="TE125"/>
      <c r="TF125"/>
      <c r="TG125"/>
      <c r="TH125"/>
      <c r="TI125"/>
      <c r="TJ125"/>
      <c r="TK125"/>
      <c r="TL125"/>
      <c r="TM125"/>
      <c r="TN125"/>
      <c r="TO125"/>
      <c r="TP125"/>
      <c r="TQ125"/>
      <c r="TR125"/>
      <c r="TS125"/>
      <c r="TT125"/>
      <c r="TU125"/>
      <c r="TV125"/>
      <c r="TW125"/>
      <c r="TX125"/>
      <c r="TY125"/>
      <c r="TZ125"/>
      <c r="UA125"/>
      <c r="UB125"/>
      <c r="UC125"/>
      <c r="UD125"/>
      <c r="UE125"/>
      <c r="UF125"/>
      <c r="UG125"/>
      <c r="UH125"/>
      <c r="UI125"/>
      <c r="UJ125"/>
      <c r="UK125"/>
      <c r="UL125"/>
      <c r="UM125"/>
      <c r="UN125"/>
      <c r="UO125"/>
      <c r="UP125"/>
      <c r="UQ125"/>
      <c r="UR125"/>
      <c r="US125"/>
      <c r="UT125"/>
      <c r="UU125"/>
      <c r="UV125"/>
      <c r="UW125"/>
      <c r="UX125"/>
      <c r="UY125"/>
      <c r="UZ125"/>
      <c r="VA125"/>
      <c r="VB125"/>
      <c r="VC125"/>
      <c r="VD125"/>
      <c r="VE125"/>
      <c r="VF125"/>
      <c r="VG125"/>
    </row>
    <row r="126" spans="1:579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  <c r="PY126"/>
      <c r="PZ126"/>
      <c r="QA126"/>
      <c r="QB126"/>
      <c r="QC126"/>
      <c r="QD126"/>
      <c r="QE126"/>
      <c r="QF126"/>
      <c r="QG126"/>
      <c r="QH126"/>
      <c r="QI126"/>
      <c r="QJ126"/>
      <c r="QK126"/>
      <c r="QL126"/>
      <c r="QM126"/>
      <c r="QN126"/>
      <c r="QO126"/>
      <c r="QP126"/>
      <c r="QQ126"/>
      <c r="QR126"/>
      <c r="QS126"/>
      <c r="QT126"/>
      <c r="QU126"/>
      <c r="QV126"/>
      <c r="QW126"/>
      <c r="QX126"/>
      <c r="QY126"/>
      <c r="QZ126"/>
      <c r="RA126"/>
      <c r="RB126"/>
      <c r="RC126"/>
      <c r="RD126"/>
      <c r="RE126"/>
      <c r="RF126"/>
      <c r="RG126"/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/>
      <c r="RW126"/>
      <c r="RX126"/>
      <c r="RY126"/>
      <c r="RZ126"/>
      <c r="SA126"/>
      <c r="SB126"/>
      <c r="SC126"/>
      <c r="SD126"/>
      <c r="SE126"/>
      <c r="SF126"/>
      <c r="SG126"/>
      <c r="SH126"/>
      <c r="SI126"/>
      <c r="SJ126"/>
      <c r="SK126"/>
      <c r="SL126"/>
      <c r="SM126"/>
      <c r="SN126"/>
      <c r="SO126"/>
      <c r="SP126"/>
      <c r="SQ126"/>
      <c r="SR126"/>
      <c r="SS126"/>
      <c r="ST126"/>
      <c r="SU126"/>
      <c r="SV126"/>
      <c r="SW126"/>
      <c r="SX126"/>
      <c r="SY126"/>
      <c r="SZ126"/>
      <c r="TA126"/>
      <c r="TB126"/>
      <c r="TC126"/>
      <c r="TD126"/>
      <c r="TE126"/>
      <c r="TF126"/>
      <c r="TG126"/>
      <c r="TH126"/>
      <c r="TI126"/>
      <c r="TJ126"/>
      <c r="TK126"/>
      <c r="TL126"/>
      <c r="TM126"/>
      <c r="TN126"/>
      <c r="TO126"/>
      <c r="TP126"/>
      <c r="TQ126"/>
      <c r="TR126"/>
      <c r="TS126"/>
      <c r="TT126"/>
      <c r="TU126"/>
      <c r="TV126"/>
      <c r="TW126"/>
      <c r="TX126"/>
      <c r="TY126"/>
      <c r="TZ126"/>
      <c r="UA126"/>
      <c r="UB126"/>
      <c r="UC126"/>
      <c r="UD126"/>
      <c r="UE126"/>
      <c r="UF126"/>
      <c r="UG126"/>
      <c r="UH126"/>
      <c r="UI126"/>
      <c r="UJ126"/>
      <c r="UK126"/>
      <c r="UL126"/>
      <c r="UM126"/>
      <c r="UN126"/>
      <c r="UO126"/>
      <c r="UP126"/>
      <c r="UQ126"/>
      <c r="UR126"/>
      <c r="US126"/>
      <c r="UT126"/>
      <c r="UU126"/>
      <c r="UV126"/>
      <c r="UW126"/>
      <c r="UX126"/>
      <c r="UY126"/>
      <c r="UZ126"/>
      <c r="VA126"/>
      <c r="VB126"/>
      <c r="VC126"/>
      <c r="VD126"/>
      <c r="VE126"/>
      <c r="VF126"/>
      <c r="VG126"/>
    </row>
    <row r="127" spans="1:579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/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/>
      <c r="RZ127"/>
      <c r="SA127"/>
      <c r="SB127"/>
      <c r="SC127"/>
      <c r="SD127"/>
      <c r="SE127"/>
      <c r="SF127"/>
      <c r="SG127"/>
      <c r="SH127"/>
      <c r="SI127"/>
      <c r="SJ127"/>
      <c r="SK127"/>
      <c r="SL127"/>
      <c r="SM127"/>
      <c r="SN127"/>
      <c r="SO127"/>
      <c r="SP127"/>
      <c r="SQ127"/>
      <c r="SR127"/>
      <c r="SS127"/>
      <c r="ST127"/>
      <c r="SU127"/>
      <c r="SV127"/>
      <c r="SW127"/>
      <c r="SX127"/>
      <c r="SY127"/>
      <c r="SZ127"/>
      <c r="TA127"/>
      <c r="TB127"/>
      <c r="TC127"/>
      <c r="TD127"/>
      <c r="TE127"/>
      <c r="TF127"/>
      <c r="TG127"/>
      <c r="TH127"/>
      <c r="TI127"/>
      <c r="TJ127"/>
      <c r="TK127"/>
      <c r="TL127"/>
      <c r="TM127"/>
      <c r="TN127"/>
      <c r="TO127"/>
      <c r="TP127"/>
      <c r="TQ127"/>
      <c r="TR127"/>
      <c r="TS127"/>
      <c r="TT127"/>
      <c r="TU127"/>
      <c r="TV127"/>
      <c r="TW127"/>
      <c r="TX127"/>
      <c r="TY127"/>
      <c r="TZ127"/>
      <c r="UA127"/>
      <c r="UB127"/>
      <c r="UC127"/>
      <c r="UD127"/>
      <c r="UE127"/>
      <c r="UF127"/>
      <c r="UG127"/>
      <c r="UH127"/>
      <c r="UI127"/>
      <c r="UJ127"/>
      <c r="UK127"/>
      <c r="UL127"/>
      <c r="UM127"/>
      <c r="UN127"/>
      <c r="UO127"/>
      <c r="UP127"/>
      <c r="UQ127"/>
      <c r="UR127"/>
      <c r="US127"/>
      <c r="UT127"/>
      <c r="UU127"/>
      <c r="UV127"/>
      <c r="UW127"/>
      <c r="UX127"/>
      <c r="UY127"/>
      <c r="UZ127"/>
      <c r="VA127"/>
      <c r="VB127"/>
      <c r="VC127"/>
      <c r="VD127"/>
      <c r="VE127"/>
      <c r="VF127"/>
      <c r="VG127"/>
    </row>
    <row r="128" spans="1:579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/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/>
      <c r="RZ128"/>
      <c r="SA128"/>
      <c r="SB128"/>
      <c r="SC128"/>
      <c r="SD128"/>
      <c r="SE128"/>
      <c r="SF128"/>
      <c r="SG128"/>
      <c r="SH128"/>
      <c r="SI128"/>
      <c r="SJ128"/>
      <c r="SK128"/>
      <c r="SL128"/>
      <c r="SM128"/>
      <c r="SN128"/>
      <c r="SO128"/>
      <c r="SP128"/>
      <c r="SQ128"/>
      <c r="SR128"/>
      <c r="SS128"/>
      <c r="ST128"/>
      <c r="SU128"/>
      <c r="SV128"/>
      <c r="SW128"/>
      <c r="SX128"/>
      <c r="SY128"/>
      <c r="SZ128"/>
      <c r="TA128"/>
      <c r="TB128"/>
      <c r="TC128"/>
      <c r="TD128"/>
      <c r="TE128"/>
      <c r="TF128"/>
      <c r="TG128"/>
      <c r="TH128"/>
      <c r="TI128"/>
      <c r="TJ128"/>
      <c r="TK128"/>
      <c r="TL128"/>
      <c r="TM128"/>
      <c r="TN128"/>
      <c r="TO128"/>
      <c r="TP128"/>
      <c r="TQ128"/>
      <c r="TR128"/>
      <c r="TS128"/>
      <c r="TT128"/>
      <c r="TU128"/>
      <c r="TV128"/>
      <c r="TW128"/>
      <c r="TX128"/>
      <c r="TY128"/>
      <c r="TZ128"/>
      <c r="UA128"/>
      <c r="UB128"/>
      <c r="UC128"/>
      <c r="UD128"/>
      <c r="UE128"/>
      <c r="UF128"/>
      <c r="UG128"/>
      <c r="UH128"/>
      <c r="UI128"/>
      <c r="UJ128"/>
      <c r="UK128"/>
      <c r="UL128"/>
      <c r="UM128"/>
      <c r="UN128"/>
      <c r="UO128"/>
      <c r="UP128"/>
      <c r="UQ128"/>
      <c r="UR128"/>
      <c r="US128"/>
      <c r="UT128"/>
      <c r="UU128"/>
      <c r="UV128"/>
      <c r="UW128"/>
      <c r="UX128"/>
      <c r="UY128"/>
      <c r="UZ128"/>
      <c r="VA128"/>
      <c r="VB128"/>
      <c r="VC128"/>
      <c r="VD128"/>
      <c r="VE128"/>
      <c r="VF128"/>
      <c r="VG128"/>
    </row>
    <row r="129" spans="1:579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/>
      <c r="RZ129"/>
      <c r="SA129"/>
      <c r="SB129"/>
      <c r="SC129"/>
      <c r="SD129"/>
      <c r="SE129"/>
      <c r="SF129"/>
      <c r="SG129"/>
      <c r="SH129"/>
      <c r="SI129"/>
      <c r="SJ129"/>
      <c r="SK129"/>
      <c r="SL129"/>
      <c r="SM129"/>
      <c r="SN129"/>
      <c r="SO129"/>
      <c r="SP129"/>
      <c r="SQ129"/>
      <c r="SR129"/>
      <c r="SS129"/>
      <c r="ST129"/>
      <c r="SU129"/>
      <c r="SV129"/>
      <c r="SW129"/>
      <c r="SX129"/>
      <c r="SY129"/>
      <c r="SZ129"/>
      <c r="TA129"/>
      <c r="TB129"/>
      <c r="TC129"/>
      <c r="TD129"/>
      <c r="TE129"/>
      <c r="TF129"/>
      <c r="TG129"/>
      <c r="TH129"/>
      <c r="TI129"/>
      <c r="TJ129"/>
      <c r="TK129"/>
      <c r="TL129"/>
      <c r="TM129"/>
      <c r="TN129"/>
      <c r="TO129"/>
      <c r="TP129"/>
      <c r="TQ129"/>
      <c r="TR129"/>
      <c r="TS129"/>
      <c r="TT129"/>
      <c r="TU129"/>
      <c r="TV129"/>
      <c r="TW129"/>
      <c r="TX129"/>
      <c r="TY129"/>
      <c r="TZ129"/>
      <c r="UA129"/>
      <c r="UB129"/>
      <c r="UC129"/>
      <c r="UD129"/>
      <c r="UE129"/>
      <c r="UF129"/>
      <c r="UG129"/>
      <c r="UH129"/>
      <c r="UI129"/>
      <c r="UJ129"/>
      <c r="UK129"/>
      <c r="UL129"/>
      <c r="UM129"/>
      <c r="UN129"/>
      <c r="UO129"/>
      <c r="UP129"/>
      <c r="UQ129"/>
      <c r="UR129"/>
      <c r="US129"/>
      <c r="UT129"/>
      <c r="UU129"/>
      <c r="UV129"/>
      <c r="UW129"/>
      <c r="UX129"/>
      <c r="UY129"/>
      <c r="UZ129"/>
      <c r="VA129"/>
      <c r="VB129"/>
      <c r="VC129"/>
      <c r="VD129"/>
      <c r="VE129"/>
      <c r="VF129"/>
      <c r="VG129"/>
    </row>
    <row r="130" spans="1:579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</row>
    <row r="131" spans="1:579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/>
      <c r="RH131"/>
      <c r="RI131"/>
      <c r="RJ131"/>
      <c r="RK131"/>
      <c r="RL131"/>
      <c r="RM131"/>
      <c r="RN131"/>
      <c r="RO131"/>
      <c r="RP131"/>
      <c r="RQ131"/>
      <c r="RR131"/>
      <c r="RS131"/>
      <c r="RT131"/>
      <c r="RU131"/>
      <c r="RV131"/>
      <c r="RW131"/>
      <c r="RX131"/>
      <c r="RY131"/>
      <c r="RZ131"/>
      <c r="SA131"/>
      <c r="SB131"/>
      <c r="SC131"/>
      <c r="SD131"/>
      <c r="SE131"/>
      <c r="SF131"/>
      <c r="SG131"/>
      <c r="SH131"/>
      <c r="SI131"/>
      <c r="SJ131"/>
      <c r="SK131"/>
      <c r="SL131"/>
      <c r="SM131"/>
      <c r="SN131"/>
      <c r="SO131"/>
      <c r="SP131"/>
      <c r="SQ131"/>
      <c r="SR131"/>
      <c r="SS131"/>
      <c r="ST131"/>
      <c r="SU131"/>
      <c r="SV131"/>
      <c r="SW131"/>
      <c r="SX131"/>
      <c r="SY131"/>
      <c r="SZ131"/>
      <c r="TA131"/>
      <c r="TB131"/>
      <c r="TC131"/>
      <c r="TD131"/>
      <c r="TE131"/>
      <c r="TF131"/>
      <c r="TG131"/>
      <c r="TH131"/>
      <c r="TI131"/>
      <c r="TJ131"/>
      <c r="TK131"/>
      <c r="TL131"/>
      <c r="TM131"/>
      <c r="TN131"/>
      <c r="TO131"/>
      <c r="TP131"/>
      <c r="TQ131"/>
      <c r="TR131"/>
      <c r="TS131"/>
      <c r="TT131"/>
      <c r="TU131"/>
      <c r="TV131"/>
      <c r="TW131"/>
      <c r="TX131"/>
      <c r="TY131"/>
      <c r="TZ131"/>
      <c r="UA131"/>
      <c r="UB131"/>
      <c r="UC131"/>
      <c r="UD131"/>
      <c r="UE131"/>
      <c r="UF131"/>
      <c r="UG131"/>
      <c r="UH131"/>
      <c r="UI131"/>
      <c r="UJ131"/>
      <c r="UK131"/>
      <c r="UL131"/>
      <c r="UM131"/>
      <c r="UN131"/>
      <c r="UO131"/>
      <c r="UP131"/>
      <c r="UQ131"/>
      <c r="UR131"/>
      <c r="US131"/>
      <c r="UT131"/>
      <c r="UU131"/>
      <c r="UV131"/>
      <c r="UW131"/>
      <c r="UX131"/>
      <c r="UY131"/>
      <c r="UZ131"/>
      <c r="VA131"/>
      <c r="VB131"/>
      <c r="VC131"/>
      <c r="VD131"/>
      <c r="VE131"/>
      <c r="VF131"/>
      <c r="VG131"/>
    </row>
    <row r="132" spans="1:579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/>
      <c r="OP132"/>
      <c r="OQ132"/>
      <c r="OR132"/>
      <c r="OS132"/>
      <c r="OT132"/>
      <c r="OU132"/>
      <c r="OV132"/>
      <c r="OW132"/>
      <c r="OX132"/>
      <c r="OY132"/>
      <c r="OZ132"/>
      <c r="PA132"/>
      <c r="PB132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  <c r="QR132"/>
      <c r="QS132"/>
      <c r="QT132"/>
      <c r="QU132"/>
      <c r="QV132"/>
      <c r="QW132"/>
      <c r="QX132"/>
      <c r="QY132"/>
      <c r="QZ132"/>
      <c r="RA132"/>
      <c r="RB132"/>
      <c r="RC132"/>
      <c r="RD132"/>
      <c r="RE132"/>
      <c r="RF132"/>
      <c r="RG132"/>
      <c r="RH132"/>
      <c r="RI132"/>
      <c r="RJ132"/>
      <c r="RK132"/>
      <c r="RL132"/>
      <c r="RM132"/>
      <c r="RN132"/>
      <c r="RO132"/>
      <c r="RP132"/>
      <c r="RQ132"/>
      <c r="RR132"/>
      <c r="RS132"/>
      <c r="RT132"/>
      <c r="RU132"/>
      <c r="RV132"/>
      <c r="RW132"/>
      <c r="RX132"/>
      <c r="RY132"/>
      <c r="RZ132"/>
      <c r="SA132"/>
      <c r="SB132"/>
      <c r="SC132"/>
      <c r="SD132"/>
      <c r="SE132"/>
      <c r="SF132"/>
      <c r="SG132"/>
      <c r="SH132"/>
      <c r="SI132"/>
      <c r="SJ132"/>
      <c r="SK132"/>
      <c r="SL132"/>
      <c r="SM132"/>
      <c r="SN132"/>
      <c r="SO132"/>
      <c r="SP132"/>
      <c r="SQ132"/>
      <c r="SR132"/>
      <c r="SS132"/>
      <c r="ST132"/>
      <c r="SU132"/>
      <c r="SV132"/>
      <c r="SW132"/>
      <c r="SX132"/>
      <c r="SY132"/>
      <c r="SZ132"/>
      <c r="TA132"/>
      <c r="TB132"/>
      <c r="TC132"/>
      <c r="TD132"/>
      <c r="TE132"/>
      <c r="TF132"/>
      <c r="TG132"/>
      <c r="TH132"/>
      <c r="TI132"/>
      <c r="TJ132"/>
      <c r="TK132"/>
      <c r="TL132"/>
      <c r="TM132"/>
      <c r="TN132"/>
      <c r="TO132"/>
      <c r="TP132"/>
      <c r="TQ132"/>
      <c r="TR132"/>
      <c r="TS132"/>
      <c r="TT132"/>
      <c r="TU132"/>
      <c r="TV132"/>
      <c r="TW132"/>
      <c r="TX132"/>
      <c r="TY132"/>
      <c r="TZ132"/>
      <c r="UA132"/>
      <c r="UB132"/>
      <c r="UC132"/>
      <c r="UD132"/>
      <c r="UE132"/>
      <c r="UF132"/>
      <c r="UG132"/>
      <c r="UH132"/>
      <c r="UI132"/>
      <c r="UJ132"/>
      <c r="UK132"/>
      <c r="UL132"/>
      <c r="UM132"/>
      <c r="UN132"/>
      <c r="UO132"/>
      <c r="UP132"/>
      <c r="UQ132"/>
      <c r="UR132"/>
      <c r="US132"/>
      <c r="UT132"/>
      <c r="UU132"/>
      <c r="UV132"/>
      <c r="UW132"/>
      <c r="UX132"/>
      <c r="UY132"/>
      <c r="UZ132"/>
      <c r="VA132"/>
      <c r="VB132"/>
      <c r="VC132"/>
      <c r="VD132"/>
      <c r="VE132"/>
      <c r="VF132"/>
      <c r="VG132"/>
    </row>
    <row r="133" spans="1:579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/>
      <c r="NY133"/>
      <c r="NZ133"/>
      <c r="OA133"/>
      <c r="OB133"/>
      <c r="OC133"/>
      <c r="OD133"/>
      <c r="OE133"/>
      <c r="OF133"/>
      <c r="OG133"/>
      <c r="OH133"/>
      <c r="OI133"/>
      <c r="OJ133"/>
      <c r="OK133"/>
      <c r="OL133"/>
      <c r="OM133"/>
      <c r="ON133"/>
      <c r="OO133"/>
      <c r="OP133"/>
      <c r="OQ133"/>
      <c r="OR133"/>
      <c r="OS133"/>
      <c r="OT133"/>
      <c r="OU133"/>
      <c r="OV133"/>
      <c r="OW133"/>
      <c r="OX133"/>
      <c r="OY133"/>
      <c r="OZ133"/>
      <c r="PA133"/>
      <c r="PB133"/>
      <c r="PC133"/>
      <c r="PD133"/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/>
      <c r="QD133"/>
      <c r="QE133"/>
      <c r="QF133"/>
      <c r="QG133"/>
      <c r="QH133"/>
      <c r="QI133"/>
      <c r="QJ133"/>
      <c r="QK133"/>
      <c r="QL133"/>
      <c r="QM133"/>
      <c r="QN133"/>
      <c r="QO133"/>
      <c r="QP133"/>
      <c r="QQ133"/>
      <c r="QR133"/>
      <c r="QS133"/>
      <c r="QT133"/>
      <c r="QU133"/>
      <c r="QV133"/>
      <c r="QW133"/>
      <c r="QX133"/>
      <c r="QY133"/>
      <c r="QZ133"/>
      <c r="RA133"/>
      <c r="RB133"/>
      <c r="RC133"/>
      <c r="RD133"/>
      <c r="RE133"/>
      <c r="RF133"/>
      <c r="RG133"/>
      <c r="RH133"/>
      <c r="RI133"/>
      <c r="RJ133"/>
      <c r="RK133"/>
      <c r="RL133"/>
      <c r="RM133"/>
      <c r="RN133"/>
      <c r="RO133"/>
      <c r="RP133"/>
      <c r="RQ133"/>
      <c r="RR133"/>
      <c r="RS133"/>
      <c r="RT133"/>
      <c r="RU133"/>
      <c r="RV133"/>
      <c r="RW133"/>
      <c r="RX133"/>
      <c r="RY133"/>
      <c r="RZ133"/>
      <c r="SA133"/>
      <c r="SB133"/>
      <c r="SC133"/>
      <c r="SD133"/>
      <c r="SE133"/>
      <c r="SF133"/>
      <c r="SG133"/>
      <c r="SH133"/>
      <c r="SI133"/>
      <c r="SJ133"/>
      <c r="SK133"/>
      <c r="SL133"/>
      <c r="SM133"/>
      <c r="SN133"/>
      <c r="SO133"/>
      <c r="SP133"/>
      <c r="SQ133"/>
      <c r="SR133"/>
      <c r="SS133"/>
      <c r="ST133"/>
      <c r="SU133"/>
      <c r="SV133"/>
      <c r="SW133"/>
      <c r="SX133"/>
      <c r="SY133"/>
      <c r="SZ133"/>
      <c r="TA133"/>
      <c r="TB133"/>
      <c r="TC133"/>
      <c r="TD133"/>
      <c r="TE133"/>
      <c r="TF133"/>
      <c r="TG133"/>
      <c r="TH133"/>
      <c r="TI133"/>
      <c r="TJ133"/>
      <c r="TK133"/>
      <c r="TL133"/>
      <c r="TM133"/>
      <c r="TN133"/>
      <c r="TO133"/>
      <c r="TP133"/>
      <c r="TQ133"/>
      <c r="TR133"/>
      <c r="TS133"/>
      <c r="TT133"/>
      <c r="TU133"/>
      <c r="TV133"/>
      <c r="TW133"/>
      <c r="TX133"/>
      <c r="TY133"/>
      <c r="TZ133"/>
      <c r="UA133"/>
      <c r="UB133"/>
      <c r="UC133"/>
      <c r="UD133"/>
      <c r="UE133"/>
      <c r="UF133"/>
      <c r="UG133"/>
      <c r="UH133"/>
      <c r="UI133"/>
      <c r="UJ133"/>
      <c r="UK133"/>
      <c r="UL133"/>
      <c r="UM133"/>
      <c r="UN133"/>
      <c r="UO133"/>
      <c r="UP133"/>
      <c r="UQ133"/>
      <c r="UR133"/>
      <c r="US133"/>
      <c r="UT133"/>
      <c r="UU133"/>
      <c r="UV133"/>
      <c r="UW133"/>
      <c r="UX133"/>
      <c r="UY133"/>
      <c r="UZ133"/>
      <c r="VA133"/>
      <c r="VB133"/>
      <c r="VC133"/>
      <c r="VD133"/>
      <c r="VE133"/>
      <c r="VF133"/>
      <c r="VG133"/>
    </row>
    <row r="134" spans="1:579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/>
      <c r="QG134"/>
      <c r="QH134"/>
      <c r="QI134"/>
      <c r="QJ134"/>
      <c r="QK134"/>
      <c r="QL134"/>
      <c r="QM134"/>
      <c r="QN134"/>
      <c r="QO134"/>
      <c r="QP134"/>
      <c r="QQ134"/>
      <c r="QR134"/>
      <c r="QS134"/>
      <c r="QT134"/>
      <c r="QU134"/>
      <c r="QV134"/>
      <c r="QW134"/>
      <c r="QX134"/>
      <c r="QY134"/>
      <c r="QZ134"/>
      <c r="RA134"/>
      <c r="RB134"/>
      <c r="RC134"/>
      <c r="RD134"/>
      <c r="RE134"/>
      <c r="RF134"/>
      <c r="RG134"/>
      <c r="RH134"/>
      <c r="RI134"/>
      <c r="RJ134"/>
      <c r="RK134"/>
      <c r="RL134"/>
      <c r="RM134"/>
      <c r="RN134"/>
      <c r="RO134"/>
      <c r="RP134"/>
      <c r="RQ134"/>
      <c r="RR134"/>
      <c r="RS134"/>
      <c r="RT134"/>
      <c r="RU134"/>
      <c r="RV134"/>
      <c r="RW134"/>
      <c r="RX134"/>
      <c r="RY134"/>
      <c r="RZ134"/>
      <c r="SA134"/>
      <c r="SB134"/>
      <c r="SC134"/>
      <c r="SD134"/>
      <c r="SE134"/>
      <c r="SF134"/>
      <c r="SG134"/>
      <c r="SH134"/>
      <c r="SI134"/>
      <c r="SJ134"/>
      <c r="SK134"/>
      <c r="SL134"/>
      <c r="SM134"/>
      <c r="SN134"/>
      <c r="SO134"/>
      <c r="SP134"/>
      <c r="SQ134"/>
      <c r="SR134"/>
      <c r="SS134"/>
      <c r="ST134"/>
      <c r="SU134"/>
      <c r="SV134"/>
      <c r="SW134"/>
      <c r="SX134"/>
      <c r="SY134"/>
      <c r="SZ134"/>
      <c r="TA134"/>
      <c r="TB134"/>
      <c r="TC134"/>
      <c r="TD134"/>
      <c r="TE134"/>
      <c r="TF134"/>
      <c r="TG134"/>
      <c r="TH134"/>
      <c r="TI134"/>
      <c r="TJ134"/>
      <c r="TK134"/>
      <c r="TL134"/>
      <c r="TM134"/>
      <c r="TN134"/>
      <c r="TO134"/>
      <c r="TP134"/>
      <c r="TQ134"/>
      <c r="TR134"/>
      <c r="TS134"/>
      <c r="TT134"/>
      <c r="TU134"/>
      <c r="TV134"/>
      <c r="TW134"/>
      <c r="TX134"/>
      <c r="TY134"/>
      <c r="TZ134"/>
      <c r="UA134"/>
      <c r="UB134"/>
      <c r="UC134"/>
      <c r="UD134"/>
      <c r="UE134"/>
      <c r="UF134"/>
      <c r="UG134"/>
      <c r="UH134"/>
      <c r="UI134"/>
      <c r="UJ134"/>
      <c r="UK134"/>
      <c r="UL134"/>
      <c r="UM134"/>
      <c r="UN134"/>
      <c r="UO134"/>
      <c r="UP134"/>
      <c r="UQ134"/>
      <c r="UR134"/>
      <c r="US134"/>
      <c r="UT134"/>
      <c r="UU134"/>
      <c r="UV134"/>
      <c r="UW134"/>
      <c r="UX134"/>
      <c r="UY134"/>
      <c r="UZ134"/>
      <c r="VA134"/>
      <c r="VB134"/>
      <c r="VC134"/>
      <c r="VD134"/>
      <c r="VE134"/>
      <c r="VF134"/>
      <c r="VG134"/>
    </row>
    <row r="135" spans="1:579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  <c r="QR135"/>
      <c r="QS135"/>
      <c r="QT135"/>
      <c r="QU135"/>
      <c r="QV135"/>
      <c r="QW135"/>
      <c r="QX135"/>
      <c r="QY135"/>
      <c r="QZ135"/>
      <c r="RA135"/>
      <c r="RB135"/>
      <c r="RC135"/>
      <c r="RD135"/>
      <c r="RE135"/>
      <c r="RF135"/>
      <c r="RG135"/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/>
      <c r="RW135"/>
      <c r="RX135"/>
      <c r="RY135"/>
      <c r="RZ135"/>
      <c r="SA135"/>
      <c r="SB135"/>
      <c r="SC135"/>
      <c r="SD135"/>
      <c r="SE135"/>
      <c r="SF135"/>
      <c r="SG135"/>
      <c r="SH135"/>
      <c r="SI135"/>
      <c r="SJ135"/>
      <c r="SK135"/>
      <c r="SL135"/>
      <c r="SM135"/>
      <c r="SN135"/>
      <c r="SO135"/>
      <c r="SP135"/>
      <c r="SQ135"/>
      <c r="SR135"/>
      <c r="SS135"/>
      <c r="ST135"/>
      <c r="SU135"/>
      <c r="SV135"/>
      <c r="SW135"/>
      <c r="SX135"/>
      <c r="SY135"/>
      <c r="SZ135"/>
      <c r="TA135"/>
      <c r="TB135"/>
      <c r="TC135"/>
      <c r="TD135"/>
      <c r="TE135"/>
      <c r="TF135"/>
      <c r="TG135"/>
      <c r="TH135"/>
      <c r="TI135"/>
      <c r="TJ135"/>
      <c r="TK135"/>
      <c r="TL135"/>
      <c r="TM135"/>
      <c r="TN135"/>
      <c r="TO135"/>
      <c r="TP135"/>
      <c r="TQ135"/>
      <c r="TR135"/>
      <c r="TS135"/>
      <c r="TT135"/>
      <c r="TU135"/>
      <c r="TV135"/>
      <c r="TW135"/>
      <c r="TX135"/>
      <c r="TY135"/>
      <c r="TZ135"/>
      <c r="UA135"/>
      <c r="UB135"/>
      <c r="UC135"/>
      <c r="UD135"/>
      <c r="UE135"/>
      <c r="UF135"/>
      <c r="UG135"/>
      <c r="UH135"/>
      <c r="UI135"/>
      <c r="UJ135"/>
      <c r="UK135"/>
      <c r="UL135"/>
      <c r="UM135"/>
      <c r="UN135"/>
      <c r="UO135"/>
      <c r="UP135"/>
      <c r="UQ135"/>
      <c r="UR135"/>
      <c r="US135"/>
      <c r="UT135"/>
      <c r="UU135"/>
      <c r="UV135"/>
      <c r="UW135"/>
      <c r="UX135"/>
      <c r="UY135"/>
      <c r="UZ135"/>
      <c r="VA135"/>
      <c r="VB135"/>
      <c r="VC135"/>
      <c r="VD135"/>
      <c r="VE135"/>
      <c r="VF135"/>
      <c r="VG135"/>
    </row>
    <row r="136" spans="1:579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/>
      <c r="NX136"/>
      <c r="NY136"/>
      <c r="NZ136"/>
      <c r="OA136"/>
      <c r="OB136"/>
      <c r="OC136"/>
      <c r="OD136"/>
      <c r="OE136"/>
      <c r="OF136"/>
      <c r="OG136"/>
      <c r="OH136"/>
      <c r="OI136"/>
      <c r="OJ136"/>
      <c r="OK136"/>
      <c r="OL136"/>
      <c r="OM136"/>
      <c r="ON136"/>
      <c r="OO136"/>
      <c r="OP136"/>
      <c r="OQ136"/>
      <c r="OR136"/>
      <c r="OS136"/>
      <c r="OT136"/>
      <c r="OU136"/>
      <c r="OV136"/>
      <c r="OW136"/>
      <c r="OX136"/>
      <c r="OY136"/>
      <c r="OZ136"/>
      <c r="PA136"/>
      <c r="PB136"/>
      <c r="PC136"/>
      <c r="PD136"/>
      <c r="PE136"/>
      <c r="PF136"/>
      <c r="PG136"/>
      <c r="PH136"/>
      <c r="PI136"/>
      <c r="PJ136"/>
      <c r="PK136"/>
      <c r="PL136"/>
      <c r="PM136"/>
      <c r="PN136"/>
      <c r="PO136"/>
      <c r="PP136"/>
      <c r="PQ136"/>
      <c r="PR136"/>
      <c r="PS136"/>
      <c r="PT136"/>
      <c r="PU136"/>
      <c r="PV136"/>
      <c r="PW136"/>
      <c r="PX136"/>
      <c r="PY136"/>
      <c r="PZ136"/>
      <c r="QA136"/>
      <c r="QB136"/>
      <c r="QC136"/>
      <c r="QD136"/>
      <c r="QE136"/>
      <c r="QF136"/>
      <c r="QG136"/>
      <c r="QH136"/>
      <c r="QI136"/>
      <c r="QJ136"/>
      <c r="QK136"/>
      <c r="QL136"/>
      <c r="QM136"/>
      <c r="QN136"/>
      <c r="QO136"/>
      <c r="QP136"/>
      <c r="QQ136"/>
      <c r="QR136"/>
      <c r="QS136"/>
      <c r="QT136"/>
      <c r="QU136"/>
      <c r="QV136"/>
      <c r="QW136"/>
      <c r="QX136"/>
      <c r="QY136"/>
      <c r="QZ136"/>
      <c r="RA136"/>
      <c r="RB136"/>
      <c r="RC136"/>
      <c r="RD136"/>
      <c r="RE136"/>
      <c r="RF136"/>
      <c r="RG136"/>
      <c r="RH136"/>
      <c r="RI136"/>
      <c r="RJ136"/>
      <c r="RK136"/>
      <c r="RL136"/>
      <c r="RM136"/>
      <c r="RN136"/>
      <c r="RO136"/>
      <c r="RP136"/>
      <c r="RQ136"/>
      <c r="RR136"/>
      <c r="RS136"/>
      <c r="RT136"/>
      <c r="RU136"/>
      <c r="RV136"/>
      <c r="RW136"/>
      <c r="RX136"/>
      <c r="RY136"/>
      <c r="RZ136"/>
      <c r="SA136"/>
      <c r="SB136"/>
      <c r="SC136"/>
      <c r="SD136"/>
      <c r="SE136"/>
      <c r="SF136"/>
      <c r="SG136"/>
      <c r="SH136"/>
      <c r="SI136"/>
      <c r="SJ136"/>
      <c r="SK136"/>
      <c r="SL136"/>
      <c r="SM136"/>
      <c r="SN136"/>
      <c r="SO136"/>
      <c r="SP136"/>
      <c r="SQ136"/>
      <c r="SR136"/>
      <c r="SS136"/>
      <c r="ST136"/>
      <c r="SU136"/>
      <c r="SV136"/>
      <c r="SW136"/>
      <c r="SX136"/>
      <c r="SY136"/>
      <c r="SZ136"/>
      <c r="TA136"/>
      <c r="TB136"/>
      <c r="TC136"/>
      <c r="TD136"/>
      <c r="TE136"/>
      <c r="TF136"/>
      <c r="TG136"/>
      <c r="TH136"/>
      <c r="TI136"/>
      <c r="TJ136"/>
      <c r="TK136"/>
      <c r="TL136"/>
      <c r="TM136"/>
      <c r="TN136"/>
      <c r="TO136"/>
      <c r="TP136"/>
      <c r="TQ136"/>
      <c r="TR136"/>
      <c r="TS136"/>
      <c r="TT136"/>
      <c r="TU136"/>
      <c r="TV136"/>
      <c r="TW136"/>
      <c r="TX136"/>
      <c r="TY136"/>
      <c r="TZ136"/>
      <c r="UA136"/>
      <c r="UB136"/>
      <c r="UC136"/>
      <c r="UD136"/>
      <c r="UE136"/>
      <c r="UF136"/>
      <c r="UG136"/>
      <c r="UH136"/>
      <c r="UI136"/>
      <c r="UJ136"/>
      <c r="UK136"/>
      <c r="UL136"/>
      <c r="UM136"/>
      <c r="UN136"/>
      <c r="UO136"/>
      <c r="UP136"/>
      <c r="UQ136"/>
      <c r="UR136"/>
      <c r="US136"/>
      <c r="UT136"/>
      <c r="UU136"/>
      <c r="UV136"/>
      <c r="UW136"/>
      <c r="UX136"/>
      <c r="UY136"/>
      <c r="UZ136"/>
      <c r="VA136"/>
      <c r="VB136"/>
      <c r="VC136"/>
      <c r="VD136"/>
      <c r="VE136"/>
      <c r="VF136"/>
      <c r="VG136"/>
    </row>
    <row r="137" spans="1:579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/>
      <c r="NH137"/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/>
      <c r="NX137"/>
      <c r="NY137"/>
      <c r="NZ137"/>
      <c r="OA137"/>
      <c r="OB137"/>
      <c r="OC137"/>
      <c r="OD137"/>
      <c r="OE137"/>
      <c r="OF137"/>
      <c r="OG137"/>
      <c r="OH137"/>
      <c r="OI137"/>
      <c r="OJ137"/>
      <c r="OK137"/>
      <c r="OL137"/>
      <c r="OM137"/>
      <c r="ON137"/>
      <c r="OO137"/>
      <c r="OP137"/>
      <c r="OQ137"/>
      <c r="OR137"/>
      <c r="OS137"/>
      <c r="OT137"/>
      <c r="OU137"/>
      <c r="OV137"/>
      <c r="OW137"/>
      <c r="OX137"/>
      <c r="OY137"/>
      <c r="OZ137"/>
      <c r="PA137"/>
      <c r="PB137"/>
      <c r="PC137"/>
      <c r="PD137"/>
      <c r="PE137"/>
      <c r="PF137"/>
      <c r="PG137"/>
      <c r="PH137"/>
      <c r="PI137"/>
      <c r="PJ137"/>
      <c r="PK137"/>
      <c r="PL137"/>
      <c r="PM137"/>
      <c r="PN137"/>
      <c r="PO137"/>
      <c r="PP137"/>
      <c r="PQ137"/>
      <c r="PR137"/>
      <c r="PS137"/>
      <c r="PT137"/>
      <c r="PU137"/>
      <c r="PV137"/>
      <c r="PW137"/>
      <c r="PX137"/>
      <c r="PY137"/>
      <c r="PZ137"/>
      <c r="QA137"/>
      <c r="QB137"/>
      <c r="QC137"/>
      <c r="QD137"/>
      <c r="QE137"/>
      <c r="QF137"/>
      <c r="QG137"/>
      <c r="QH137"/>
      <c r="QI137"/>
      <c r="QJ137"/>
      <c r="QK137"/>
      <c r="QL137"/>
      <c r="QM137"/>
      <c r="QN137"/>
      <c r="QO137"/>
      <c r="QP137"/>
      <c r="QQ137"/>
      <c r="QR137"/>
      <c r="QS137"/>
      <c r="QT137"/>
      <c r="QU137"/>
      <c r="QV137"/>
      <c r="QW137"/>
      <c r="QX137"/>
      <c r="QY137"/>
      <c r="QZ137"/>
      <c r="RA137"/>
      <c r="RB137"/>
      <c r="RC137"/>
      <c r="RD137"/>
      <c r="RE137"/>
      <c r="RF137"/>
      <c r="RG137"/>
      <c r="RH137"/>
      <c r="RI137"/>
      <c r="RJ137"/>
      <c r="RK137"/>
      <c r="RL137"/>
      <c r="RM137"/>
      <c r="RN137"/>
      <c r="RO137"/>
      <c r="RP137"/>
      <c r="RQ137"/>
      <c r="RR137"/>
      <c r="RS137"/>
      <c r="RT137"/>
      <c r="RU137"/>
      <c r="RV137"/>
      <c r="RW137"/>
      <c r="RX137"/>
      <c r="RY137"/>
      <c r="RZ137"/>
      <c r="SA137"/>
      <c r="SB137"/>
      <c r="SC137"/>
      <c r="SD137"/>
      <c r="SE137"/>
      <c r="SF137"/>
      <c r="SG137"/>
      <c r="SH137"/>
      <c r="SI137"/>
      <c r="SJ137"/>
      <c r="SK137"/>
      <c r="SL137"/>
      <c r="SM137"/>
      <c r="SN137"/>
      <c r="SO137"/>
      <c r="SP137"/>
      <c r="SQ137"/>
      <c r="SR137"/>
      <c r="SS137"/>
      <c r="ST137"/>
      <c r="SU137"/>
      <c r="SV137"/>
      <c r="SW137"/>
      <c r="SX137"/>
      <c r="SY137"/>
      <c r="SZ137"/>
      <c r="TA137"/>
      <c r="TB137"/>
      <c r="TC137"/>
      <c r="TD137"/>
      <c r="TE137"/>
      <c r="TF137"/>
      <c r="TG137"/>
      <c r="TH137"/>
      <c r="TI137"/>
      <c r="TJ137"/>
      <c r="TK137"/>
      <c r="TL137"/>
      <c r="TM137"/>
      <c r="TN137"/>
      <c r="TO137"/>
      <c r="TP137"/>
      <c r="TQ137"/>
      <c r="TR137"/>
      <c r="TS137"/>
      <c r="TT137"/>
      <c r="TU137"/>
      <c r="TV137"/>
      <c r="TW137"/>
      <c r="TX137"/>
      <c r="TY137"/>
      <c r="TZ137"/>
      <c r="UA137"/>
      <c r="UB137"/>
      <c r="UC137"/>
      <c r="UD137"/>
      <c r="UE137"/>
      <c r="UF137"/>
      <c r="UG137"/>
      <c r="UH137"/>
      <c r="UI137"/>
      <c r="UJ137"/>
      <c r="UK137"/>
      <c r="UL137"/>
      <c r="UM137"/>
      <c r="UN137"/>
      <c r="UO137"/>
      <c r="UP137"/>
      <c r="UQ137"/>
      <c r="UR137"/>
      <c r="US137"/>
      <c r="UT137"/>
      <c r="UU137"/>
      <c r="UV137"/>
      <c r="UW137"/>
      <c r="UX137"/>
      <c r="UY137"/>
      <c r="UZ137"/>
      <c r="VA137"/>
      <c r="VB137"/>
      <c r="VC137"/>
      <c r="VD137"/>
      <c r="VE137"/>
      <c r="VF137"/>
      <c r="VG137"/>
    </row>
    <row r="138" spans="1:579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  <c r="PY138"/>
      <c r="PZ138"/>
      <c r="QA138"/>
      <c r="QB138"/>
      <c r="QC138"/>
      <c r="QD138"/>
      <c r="QE138"/>
      <c r="QF138"/>
      <c r="QG138"/>
      <c r="QH138"/>
      <c r="QI138"/>
      <c r="QJ138"/>
      <c r="QK138"/>
      <c r="QL138"/>
      <c r="QM138"/>
      <c r="QN138"/>
      <c r="QO138"/>
      <c r="QP138"/>
      <c r="QQ138"/>
      <c r="QR138"/>
      <c r="QS138"/>
      <c r="QT138"/>
      <c r="QU138"/>
      <c r="QV138"/>
      <c r="QW138"/>
      <c r="QX138"/>
      <c r="QY138"/>
      <c r="QZ138"/>
      <c r="RA138"/>
      <c r="RB138"/>
      <c r="RC138"/>
      <c r="RD138"/>
      <c r="RE138"/>
      <c r="RF138"/>
      <c r="RG138"/>
      <c r="RH138"/>
      <c r="RI138"/>
      <c r="RJ138"/>
      <c r="RK138"/>
      <c r="RL138"/>
      <c r="RM138"/>
      <c r="RN138"/>
      <c r="RO138"/>
      <c r="RP138"/>
      <c r="RQ138"/>
      <c r="RR138"/>
      <c r="RS138"/>
      <c r="RT138"/>
      <c r="RU138"/>
      <c r="RV138"/>
      <c r="RW138"/>
      <c r="RX138"/>
      <c r="RY138"/>
      <c r="RZ138"/>
      <c r="SA138"/>
      <c r="SB138"/>
      <c r="SC138"/>
      <c r="SD138"/>
      <c r="SE138"/>
      <c r="SF138"/>
      <c r="SG138"/>
      <c r="SH138"/>
      <c r="SI138"/>
      <c r="SJ138"/>
      <c r="SK138"/>
      <c r="SL138"/>
      <c r="SM138"/>
      <c r="SN138"/>
      <c r="SO138"/>
      <c r="SP138"/>
      <c r="SQ138"/>
      <c r="SR138"/>
      <c r="SS138"/>
      <c r="ST138"/>
      <c r="SU138"/>
      <c r="SV138"/>
      <c r="SW138"/>
      <c r="SX138"/>
      <c r="SY138"/>
      <c r="SZ138"/>
      <c r="TA138"/>
      <c r="TB138"/>
      <c r="TC138"/>
      <c r="TD138"/>
      <c r="TE138"/>
      <c r="TF138"/>
      <c r="TG138"/>
      <c r="TH138"/>
      <c r="TI138"/>
      <c r="TJ138"/>
      <c r="TK138"/>
      <c r="TL138"/>
      <c r="TM138"/>
      <c r="TN138"/>
      <c r="TO138"/>
      <c r="TP138"/>
      <c r="TQ138"/>
      <c r="TR138"/>
      <c r="TS138"/>
      <c r="TT138"/>
      <c r="TU138"/>
      <c r="TV138"/>
      <c r="TW138"/>
      <c r="TX138"/>
      <c r="TY138"/>
      <c r="TZ138"/>
      <c r="UA138"/>
      <c r="UB138"/>
      <c r="UC138"/>
      <c r="UD138"/>
      <c r="UE138"/>
      <c r="UF138"/>
      <c r="UG138"/>
      <c r="UH138"/>
      <c r="UI138"/>
      <c r="UJ138"/>
      <c r="UK138"/>
      <c r="UL138"/>
      <c r="UM138"/>
      <c r="UN138"/>
      <c r="UO138"/>
      <c r="UP138"/>
      <c r="UQ138"/>
      <c r="UR138"/>
      <c r="US138"/>
      <c r="UT138"/>
      <c r="UU138"/>
      <c r="UV138"/>
      <c r="UW138"/>
      <c r="UX138"/>
      <c r="UY138"/>
      <c r="UZ138"/>
      <c r="VA138"/>
      <c r="VB138"/>
      <c r="VC138"/>
      <c r="VD138"/>
      <c r="VE138"/>
      <c r="VF138"/>
      <c r="VG138"/>
    </row>
    <row r="139" spans="1:579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/>
      <c r="NX139"/>
      <c r="NY139"/>
      <c r="NZ139"/>
      <c r="OA139"/>
      <c r="OB139"/>
      <c r="OC139"/>
      <c r="OD139"/>
      <c r="OE139"/>
      <c r="OF139"/>
      <c r="OG139"/>
      <c r="OH139"/>
      <c r="OI139"/>
      <c r="OJ139"/>
      <c r="OK139"/>
      <c r="OL139"/>
      <c r="OM139"/>
      <c r="ON139"/>
      <c r="OO139"/>
      <c r="OP139"/>
      <c r="OQ139"/>
      <c r="OR139"/>
      <c r="OS139"/>
      <c r="OT139"/>
      <c r="OU139"/>
      <c r="OV139"/>
      <c r="OW139"/>
      <c r="OX139"/>
      <c r="OY139"/>
      <c r="OZ139"/>
      <c r="PA139"/>
      <c r="PB139"/>
      <c r="PC139"/>
      <c r="PD139"/>
      <c r="PE139"/>
      <c r="PF139"/>
      <c r="PG139"/>
      <c r="PH139"/>
      <c r="PI139"/>
      <c r="PJ139"/>
      <c r="PK139"/>
      <c r="PL139"/>
      <c r="PM139"/>
      <c r="PN139"/>
      <c r="PO139"/>
      <c r="PP139"/>
      <c r="PQ139"/>
      <c r="PR139"/>
      <c r="PS139"/>
      <c r="PT139"/>
      <c r="PU139"/>
      <c r="PV139"/>
      <c r="PW139"/>
      <c r="PX139"/>
      <c r="PY139"/>
      <c r="PZ139"/>
      <c r="QA139"/>
      <c r="QB139"/>
      <c r="QC139"/>
      <c r="QD139"/>
      <c r="QE139"/>
      <c r="QF139"/>
      <c r="QG139"/>
      <c r="QH139"/>
      <c r="QI139"/>
      <c r="QJ139"/>
      <c r="QK139"/>
      <c r="QL139"/>
      <c r="QM139"/>
      <c r="QN139"/>
      <c r="QO139"/>
      <c r="QP139"/>
      <c r="QQ139"/>
      <c r="QR139"/>
      <c r="QS139"/>
      <c r="QT139"/>
      <c r="QU139"/>
      <c r="QV139"/>
      <c r="QW139"/>
      <c r="QX139"/>
      <c r="QY139"/>
      <c r="QZ139"/>
      <c r="RA139"/>
      <c r="RB139"/>
      <c r="RC139"/>
      <c r="RD139"/>
      <c r="RE139"/>
      <c r="RF139"/>
      <c r="RG139"/>
      <c r="RH139"/>
      <c r="RI139"/>
      <c r="RJ139"/>
      <c r="RK139"/>
      <c r="RL139"/>
      <c r="RM139"/>
      <c r="RN139"/>
      <c r="RO139"/>
      <c r="RP139"/>
      <c r="RQ139"/>
      <c r="RR139"/>
      <c r="RS139"/>
      <c r="RT139"/>
      <c r="RU139"/>
      <c r="RV139"/>
      <c r="RW139"/>
      <c r="RX139"/>
      <c r="RY139"/>
      <c r="RZ139"/>
      <c r="SA139"/>
      <c r="SB139"/>
      <c r="SC139"/>
      <c r="SD139"/>
      <c r="SE139"/>
      <c r="SF139"/>
      <c r="SG139"/>
      <c r="SH139"/>
      <c r="SI139"/>
      <c r="SJ139"/>
      <c r="SK139"/>
      <c r="SL139"/>
      <c r="SM139"/>
      <c r="SN139"/>
      <c r="SO139"/>
      <c r="SP139"/>
      <c r="SQ139"/>
      <c r="SR139"/>
      <c r="SS139"/>
      <c r="ST139"/>
      <c r="SU139"/>
      <c r="SV139"/>
      <c r="SW139"/>
      <c r="SX139"/>
      <c r="SY139"/>
      <c r="SZ139"/>
      <c r="TA139"/>
      <c r="TB139"/>
      <c r="TC139"/>
      <c r="TD139"/>
      <c r="TE139"/>
      <c r="TF139"/>
      <c r="TG139"/>
      <c r="TH139"/>
      <c r="TI139"/>
      <c r="TJ139"/>
      <c r="TK139"/>
      <c r="TL139"/>
      <c r="TM139"/>
      <c r="TN139"/>
      <c r="TO139"/>
      <c r="TP139"/>
      <c r="TQ139"/>
      <c r="TR139"/>
      <c r="TS139"/>
      <c r="TT139"/>
      <c r="TU139"/>
      <c r="TV139"/>
      <c r="TW139"/>
      <c r="TX139"/>
      <c r="TY139"/>
      <c r="TZ139"/>
      <c r="UA139"/>
      <c r="UB139"/>
      <c r="UC139"/>
      <c r="UD139"/>
      <c r="UE139"/>
      <c r="UF139"/>
      <c r="UG139"/>
      <c r="UH139"/>
      <c r="UI139"/>
      <c r="UJ139"/>
      <c r="UK139"/>
      <c r="UL139"/>
      <c r="UM139"/>
      <c r="UN139"/>
      <c r="UO139"/>
      <c r="UP139"/>
      <c r="UQ139"/>
      <c r="UR139"/>
      <c r="US139"/>
      <c r="UT139"/>
      <c r="UU139"/>
      <c r="UV139"/>
      <c r="UW139"/>
      <c r="UX139"/>
      <c r="UY139"/>
      <c r="UZ139"/>
      <c r="VA139"/>
      <c r="VB139"/>
      <c r="VC139"/>
      <c r="VD139"/>
      <c r="VE139"/>
      <c r="VF139"/>
      <c r="VG139"/>
    </row>
    <row r="140" spans="1:579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/>
      <c r="NO140"/>
      <c r="NP140"/>
      <c r="NQ140"/>
      <c r="NR140"/>
      <c r="NS140"/>
      <c r="NT140"/>
      <c r="NU140"/>
      <c r="NV140"/>
      <c r="NW140"/>
      <c r="NX140"/>
      <c r="NY140"/>
      <c r="NZ140"/>
      <c r="OA140"/>
      <c r="OB140"/>
      <c r="OC140"/>
      <c r="OD140"/>
      <c r="OE140"/>
      <c r="OF140"/>
      <c r="OG140"/>
      <c r="OH140"/>
      <c r="OI140"/>
      <c r="OJ140"/>
      <c r="OK140"/>
      <c r="OL140"/>
      <c r="OM140"/>
      <c r="ON140"/>
      <c r="OO140"/>
      <c r="OP140"/>
      <c r="OQ140"/>
      <c r="OR140"/>
      <c r="OS140"/>
      <c r="OT140"/>
      <c r="OU140"/>
      <c r="OV140"/>
      <c r="OW140"/>
      <c r="OX140"/>
      <c r="OY140"/>
      <c r="OZ140"/>
      <c r="PA140"/>
      <c r="PB140"/>
      <c r="PC140"/>
      <c r="PD140"/>
      <c r="PE140"/>
      <c r="PF140"/>
      <c r="PG140"/>
      <c r="PH140"/>
      <c r="PI140"/>
      <c r="PJ140"/>
      <c r="PK140"/>
      <c r="PL140"/>
      <c r="PM140"/>
      <c r="PN140"/>
      <c r="PO140"/>
      <c r="PP140"/>
      <c r="PQ140"/>
      <c r="PR140"/>
      <c r="PS140"/>
      <c r="PT140"/>
      <c r="PU140"/>
      <c r="PV140"/>
      <c r="PW140"/>
      <c r="PX140"/>
      <c r="PY140"/>
      <c r="PZ140"/>
      <c r="QA140"/>
      <c r="QB140"/>
      <c r="QC140"/>
      <c r="QD140"/>
      <c r="QE140"/>
      <c r="QF140"/>
      <c r="QG140"/>
      <c r="QH140"/>
      <c r="QI140"/>
      <c r="QJ140"/>
      <c r="QK140"/>
      <c r="QL140"/>
      <c r="QM140"/>
      <c r="QN140"/>
      <c r="QO140"/>
      <c r="QP140"/>
      <c r="QQ140"/>
      <c r="QR140"/>
      <c r="QS140"/>
      <c r="QT140"/>
      <c r="QU140"/>
      <c r="QV140"/>
      <c r="QW140"/>
      <c r="QX140"/>
      <c r="QY140"/>
      <c r="QZ140"/>
      <c r="RA140"/>
      <c r="RB140"/>
      <c r="RC140"/>
      <c r="RD140"/>
      <c r="RE140"/>
      <c r="RF140"/>
      <c r="RG140"/>
      <c r="RH140"/>
      <c r="RI140"/>
      <c r="RJ140"/>
      <c r="RK140"/>
      <c r="RL140"/>
      <c r="RM140"/>
      <c r="RN140"/>
      <c r="RO140"/>
      <c r="RP140"/>
      <c r="RQ140"/>
      <c r="RR140"/>
      <c r="RS140"/>
      <c r="RT140"/>
      <c r="RU140"/>
      <c r="RV140"/>
      <c r="RW140"/>
      <c r="RX140"/>
      <c r="RY140"/>
      <c r="RZ140"/>
      <c r="SA140"/>
      <c r="SB140"/>
      <c r="SC140"/>
      <c r="SD140"/>
      <c r="SE140"/>
      <c r="SF140"/>
      <c r="SG140"/>
      <c r="SH140"/>
      <c r="SI140"/>
      <c r="SJ140"/>
      <c r="SK140"/>
      <c r="SL140"/>
      <c r="SM140"/>
      <c r="SN140"/>
      <c r="SO140"/>
      <c r="SP140"/>
      <c r="SQ140"/>
      <c r="SR140"/>
      <c r="SS140"/>
      <c r="ST140"/>
      <c r="SU140"/>
      <c r="SV140"/>
      <c r="SW140"/>
      <c r="SX140"/>
      <c r="SY140"/>
      <c r="SZ140"/>
      <c r="TA140"/>
      <c r="TB140"/>
      <c r="TC140"/>
      <c r="TD140"/>
      <c r="TE140"/>
      <c r="TF140"/>
      <c r="TG140"/>
      <c r="TH140"/>
      <c r="TI140"/>
      <c r="TJ140"/>
      <c r="TK140"/>
      <c r="TL140"/>
      <c r="TM140"/>
      <c r="TN140"/>
      <c r="TO140"/>
      <c r="TP140"/>
      <c r="TQ140"/>
      <c r="TR140"/>
      <c r="TS140"/>
      <c r="TT140"/>
      <c r="TU140"/>
      <c r="TV140"/>
      <c r="TW140"/>
      <c r="TX140"/>
      <c r="TY140"/>
      <c r="TZ140"/>
      <c r="UA140"/>
      <c r="UB140"/>
      <c r="UC140"/>
      <c r="UD140"/>
      <c r="UE140"/>
      <c r="UF140"/>
      <c r="UG140"/>
      <c r="UH140"/>
      <c r="UI140"/>
      <c r="UJ140"/>
      <c r="UK140"/>
      <c r="UL140"/>
      <c r="UM140"/>
      <c r="UN140"/>
      <c r="UO140"/>
      <c r="UP140"/>
      <c r="UQ140"/>
      <c r="UR140"/>
      <c r="US140"/>
      <c r="UT140"/>
      <c r="UU140"/>
      <c r="UV140"/>
      <c r="UW140"/>
      <c r="UX140"/>
      <c r="UY140"/>
      <c r="UZ140"/>
      <c r="VA140"/>
      <c r="VB140"/>
      <c r="VC140"/>
      <c r="VD140"/>
      <c r="VE140"/>
      <c r="VF140"/>
      <c r="VG140"/>
    </row>
    <row r="141" spans="1:579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/>
      <c r="OP141"/>
      <c r="OQ141"/>
      <c r="OR141"/>
      <c r="OS141"/>
      <c r="OT141"/>
      <c r="OU141"/>
      <c r="OV141"/>
      <c r="OW141"/>
      <c r="OX141"/>
      <c r="OY141"/>
      <c r="OZ141"/>
      <c r="PA141"/>
      <c r="PB14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  <c r="PY141"/>
      <c r="PZ141"/>
      <c r="QA141"/>
      <c r="QB141"/>
      <c r="QC141"/>
      <c r="QD141"/>
      <c r="QE141"/>
      <c r="QF141"/>
      <c r="QG141"/>
      <c r="QH141"/>
      <c r="QI141"/>
      <c r="QJ141"/>
      <c r="QK141"/>
      <c r="QL141"/>
      <c r="QM141"/>
      <c r="QN141"/>
      <c r="QO141"/>
      <c r="QP141"/>
      <c r="QQ141"/>
      <c r="QR141"/>
      <c r="QS141"/>
      <c r="QT141"/>
      <c r="QU141"/>
      <c r="QV141"/>
      <c r="QW141"/>
      <c r="QX141"/>
      <c r="QY141"/>
      <c r="QZ141"/>
      <c r="RA141"/>
      <c r="RB141"/>
      <c r="RC141"/>
      <c r="RD141"/>
      <c r="RE141"/>
      <c r="RF141"/>
      <c r="RG141"/>
      <c r="RH141"/>
      <c r="RI141"/>
      <c r="RJ141"/>
      <c r="RK141"/>
      <c r="RL141"/>
      <c r="RM141"/>
      <c r="RN141"/>
      <c r="RO141"/>
      <c r="RP141"/>
      <c r="RQ141"/>
      <c r="RR141"/>
      <c r="RS141"/>
      <c r="RT141"/>
      <c r="RU141"/>
      <c r="RV141"/>
      <c r="RW141"/>
      <c r="RX141"/>
      <c r="RY141"/>
      <c r="RZ141"/>
      <c r="SA141"/>
      <c r="SB141"/>
      <c r="SC141"/>
      <c r="SD141"/>
      <c r="SE141"/>
      <c r="SF141"/>
      <c r="SG141"/>
      <c r="SH141"/>
      <c r="SI141"/>
      <c r="SJ141"/>
      <c r="SK141"/>
      <c r="SL141"/>
      <c r="SM141"/>
      <c r="SN141"/>
      <c r="SO141"/>
      <c r="SP141"/>
      <c r="SQ141"/>
      <c r="SR141"/>
      <c r="SS141"/>
      <c r="ST141"/>
      <c r="SU141"/>
      <c r="SV141"/>
      <c r="SW141"/>
      <c r="SX141"/>
      <c r="SY141"/>
      <c r="SZ141"/>
      <c r="TA141"/>
      <c r="TB141"/>
      <c r="TC141"/>
      <c r="TD141"/>
      <c r="TE141"/>
      <c r="TF141"/>
      <c r="TG141"/>
      <c r="TH141"/>
      <c r="TI141"/>
      <c r="TJ141"/>
      <c r="TK141"/>
      <c r="TL141"/>
      <c r="TM141"/>
      <c r="TN141"/>
      <c r="TO141"/>
      <c r="TP141"/>
      <c r="TQ141"/>
      <c r="TR141"/>
      <c r="TS141"/>
      <c r="TT141"/>
      <c r="TU141"/>
      <c r="TV141"/>
      <c r="TW141"/>
      <c r="TX141"/>
      <c r="TY141"/>
      <c r="TZ141"/>
      <c r="UA141"/>
      <c r="UB141"/>
      <c r="UC141"/>
      <c r="UD141"/>
      <c r="UE141"/>
      <c r="UF141"/>
      <c r="UG141"/>
      <c r="UH141"/>
      <c r="UI141"/>
      <c r="UJ141"/>
      <c r="UK141"/>
      <c r="UL141"/>
      <c r="UM141"/>
      <c r="UN141"/>
      <c r="UO141"/>
      <c r="UP141"/>
      <c r="UQ141"/>
      <c r="UR141"/>
      <c r="US141"/>
      <c r="UT141"/>
      <c r="UU141"/>
      <c r="UV141"/>
      <c r="UW141"/>
      <c r="UX141"/>
      <c r="UY141"/>
      <c r="UZ141"/>
      <c r="VA141"/>
      <c r="VB141"/>
      <c r="VC141"/>
      <c r="VD141"/>
      <c r="VE141"/>
      <c r="VF141"/>
      <c r="VG141"/>
    </row>
    <row r="142" spans="1:579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/>
      <c r="NY142"/>
      <c r="NZ142"/>
      <c r="OA142"/>
      <c r="OB142"/>
      <c r="OC142"/>
      <c r="OD142"/>
      <c r="OE142"/>
      <c r="OF142"/>
      <c r="OG142"/>
      <c r="OH142"/>
      <c r="OI142"/>
      <c r="OJ142"/>
      <c r="OK142"/>
      <c r="OL142"/>
      <c r="OM142"/>
      <c r="ON142"/>
      <c r="OO142"/>
      <c r="OP142"/>
      <c r="OQ142"/>
      <c r="OR142"/>
      <c r="OS142"/>
      <c r="OT142"/>
      <c r="OU142"/>
      <c r="OV142"/>
      <c r="OW142"/>
      <c r="OX142"/>
      <c r="OY142"/>
      <c r="OZ142"/>
      <c r="PA142"/>
      <c r="PB142"/>
      <c r="PC142"/>
      <c r="PD142"/>
      <c r="PE142"/>
      <c r="PF142"/>
      <c r="PG142"/>
      <c r="PH142"/>
      <c r="PI142"/>
      <c r="PJ142"/>
      <c r="PK142"/>
      <c r="PL142"/>
      <c r="PM142"/>
      <c r="PN142"/>
      <c r="PO142"/>
      <c r="PP142"/>
      <c r="PQ142"/>
      <c r="PR142"/>
      <c r="PS142"/>
      <c r="PT142"/>
      <c r="PU142"/>
      <c r="PV142"/>
      <c r="PW142"/>
      <c r="PX142"/>
      <c r="PY142"/>
      <c r="PZ142"/>
      <c r="QA142"/>
      <c r="QB142"/>
      <c r="QC142"/>
      <c r="QD142"/>
      <c r="QE142"/>
      <c r="QF142"/>
      <c r="QG142"/>
      <c r="QH142"/>
      <c r="QI142"/>
      <c r="QJ142"/>
      <c r="QK142"/>
      <c r="QL142"/>
      <c r="QM142"/>
      <c r="QN142"/>
      <c r="QO142"/>
      <c r="QP142"/>
      <c r="QQ142"/>
      <c r="QR142"/>
      <c r="QS142"/>
      <c r="QT142"/>
      <c r="QU142"/>
      <c r="QV142"/>
      <c r="QW142"/>
      <c r="QX142"/>
      <c r="QY142"/>
      <c r="QZ142"/>
      <c r="RA142"/>
      <c r="RB142"/>
      <c r="RC142"/>
      <c r="RD142"/>
      <c r="RE142"/>
      <c r="RF142"/>
      <c r="RG142"/>
      <c r="RH142"/>
      <c r="RI142"/>
      <c r="RJ142"/>
      <c r="RK142"/>
      <c r="RL142"/>
      <c r="RM142"/>
      <c r="RN142"/>
      <c r="RO142"/>
      <c r="RP142"/>
      <c r="RQ142"/>
      <c r="RR142"/>
      <c r="RS142"/>
      <c r="RT142"/>
      <c r="RU142"/>
      <c r="RV142"/>
      <c r="RW142"/>
      <c r="RX142"/>
      <c r="RY142"/>
      <c r="RZ142"/>
      <c r="SA142"/>
      <c r="SB142"/>
      <c r="SC142"/>
      <c r="SD142"/>
      <c r="SE142"/>
      <c r="SF142"/>
      <c r="SG142"/>
      <c r="SH142"/>
      <c r="SI142"/>
      <c r="SJ142"/>
      <c r="SK142"/>
      <c r="SL142"/>
      <c r="SM142"/>
      <c r="SN142"/>
      <c r="SO142"/>
      <c r="SP142"/>
      <c r="SQ142"/>
      <c r="SR142"/>
      <c r="SS142"/>
      <c r="ST142"/>
      <c r="SU142"/>
      <c r="SV142"/>
      <c r="SW142"/>
      <c r="SX142"/>
      <c r="SY142"/>
      <c r="SZ142"/>
      <c r="TA142"/>
      <c r="TB142"/>
      <c r="TC142"/>
      <c r="TD142"/>
      <c r="TE142"/>
      <c r="TF142"/>
      <c r="TG142"/>
      <c r="TH142"/>
      <c r="TI142"/>
      <c r="TJ142"/>
      <c r="TK142"/>
      <c r="TL142"/>
      <c r="TM142"/>
      <c r="TN142"/>
      <c r="TO142"/>
      <c r="TP142"/>
      <c r="TQ142"/>
      <c r="TR142"/>
      <c r="TS142"/>
      <c r="TT142"/>
      <c r="TU142"/>
      <c r="TV142"/>
      <c r="TW142"/>
      <c r="TX142"/>
      <c r="TY142"/>
      <c r="TZ142"/>
      <c r="UA142"/>
      <c r="UB142"/>
      <c r="UC142"/>
      <c r="UD142"/>
      <c r="UE142"/>
      <c r="UF142"/>
      <c r="UG142"/>
      <c r="UH142"/>
      <c r="UI142"/>
      <c r="UJ142"/>
      <c r="UK142"/>
      <c r="UL142"/>
      <c r="UM142"/>
      <c r="UN142"/>
      <c r="UO142"/>
      <c r="UP142"/>
      <c r="UQ142"/>
      <c r="UR142"/>
      <c r="US142"/>
      <c r="UT142"/>
      <c r="UU142"/>
      <c r="UV142"/>
      <c r="UW142"/>
      <c r="UX142"/>
      <c r="UY142"/>
      <c r="UZ142"/>
      <c r="VA142"/>
      <c r="VB142"/>
      <c r="VC142"/>
      <c r="VD142"/>
      <c r="VE142"/>
      <c r="VF142"/>
      <c r="VG142"/>
    </row>
    <row r="143" spans="1:579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/>
      <c r="NO143"/>
      <c r="NP143"/>
      <c r="NQ143"/>
      <c r="NR143"/>
      <c r="NS143"/>
      <c r="NT143"/>
      <c r="NU143"/>
      <c r="NV143"/>
      <c r="NW143"/>
      <c r="NX143"/>
      <c r="NY143"/>
      <c r="NZ143"/>
      <c r="OA143"/>
      <c r="OB143"/>
      <c r="OC143"/>
      <c r="OD143"/>
      <c r="OE143"/>
      <c r="OF143"/>
      <c r="OG143"/>
      <c r="OH143"/>
      <c r="OI143"/>
      <c r="OJ143"/>
      <c r="OK143"/>
      <c r="OL143"/>
      <c r="OM143"/>
      <c r="ON143"/>
      <c r="OO143"/>
      <c r="OP143"/>
      <c r="OQ143"/>
      <c r="OR143"/>
      <c r="OS143"/>
      <c r="OT143"/>
      <c r="OU143"/>
      <c r="OV143"/>
      <c r="OW143"/>
      <c r="OX143"/>
      <c r="OY143"/>
      <c r="OZ143"/>
      <c r="PA143"/>
      <c r="PB143"/>
      <c r="PC143"/>
      <c r="PD143"/>
      <c r="PE143"/>
      <c r="PF143"/>
      <c r="PG143"/>
      <c r="PH143"/>
      <c r="PI143"/>
      <c r="PJ143"/>
      <c r="PK143"/>
      <c r="PL143"/>
      <c r="PM143"/>
      <c r="PN143"/>
      <c r="PO143"/>
      <c r="PP143"/>
      <c r="PQ143"/>
      <c r="PR143"/>
      <c r="PS143"/>
      <c r="PT143"/>
      <c r="PU143"/>
      <c r="PV143"/>
      <c r="PW143"/>
      <c r="PX143"/>
      <c r="PY143"/>
      <c r="PZ143"/>
      <c r="QA143"/>
      <c r="QB143"/>
      <c r="QC143"/>
      <c r="QD143"/>
      <c r="QE143"/>
      <c r="QF143"/>
      <c r="QG143"/>
      <c r="QH143"/>
      <c r="QI143"/>
      <c r="QJ143"/>
      <c r="QK143"/>
      <c r="QL143"/>
      <c r="QM143"/>
      <c r="QN143"/>
      <c r="QO143"/>
      <c r="QP143"/>
      <c r="QQ143"/>
      <c r="QR143"/>
      <c r="QS143"/>
      <c r="QT143"/>
      <c r="QU143"/>
      <c r="QV143"/>
      <c r="QW143"/>
      <c r="QX143"/>
      <c r="QY143"/>
      <c r="QZ143"/>
      <c r="RA143"/>
      <c r="RB143"/>
      <c r="RC143"/>
      <c r="RD143"/>
      <c r="RE143"/>
      <c r="RF143"/>
      <c r="RG143"/>
      <c r="RH143"/>
      <c r="RI143"/>
      <c r="RJ143"/>
      <c r="RK143"/>
      <c r="RL143"/>
      <c r="RM143"/>
      <c r="RN143"/>
      <c r="RO143"/>
      <c r="RP143"/>
      <c r="RQ143"/>
      <c r="RR143"/>
      <c r="RS143"/>
      <c r="RT143"/>
      <c r="RU143"/>
      <c r="RV143"/>
      <c r="RW143"/>
      <c r="RX143"/>
      <c r="RY143"/>
      <c r="RZ143"/>
      <c r="SA143"/>
      <c r="SB143"/>
      <c r="SC143"/>
      <c r="SD143"/>
      <c r="SE143"/>
      <c r="SF143"/>
      <c r="SG143"/>
      <c r="SH143"/>
      <c r="SI143"/>
      <c r="SJ143"/>
      <c r="SK143"/>
      <c r="SL143"/>
      <c r="SM143"/>
      <c r="SN143"/>
      <c r="SO143"/>
      <c r="SP143"/>
      <c r="SQ143"/>
      <c r="SR143"/>
      <c r="SS143"/>
      <c r="ST143"/>
      <c r="SU143"/>
      <c r="SV143"/>
      <c r="SW143"/>
      <c r="SX143"/>
      <c r="SY143"/>
      <c r="SZ143"/>
      <c r="TA143"/>
      <c r="TB143"/>
      <c r="TC143"/>
      <c r="TD143"/>
      <c r="TE143"/>
      <c r="TF143"/>
      <c r="TG143"/>
      <c r="TH143"/>
      <c r="TI143"/>
      <c r="TJ143"/>
      <c r="TK143"/>
      <c r="TL143"/>
      <c r="TM143"/>
      <c r="TN143"/>
      <c r="TO143"/>
      <c r="TP143"/>
      <c r="TQ143"/>
      <c r="TR143"/>
      <c r="TS143"/>
      <c r="TT143"/>
      <c r="TU143"/>
      <c r="TV143"/>
      <c r="TW143"/>
      <c r="TX143"/>
      <c r="TY143"/>
      <c r="TZ143"/>
      <c r="UA143"/>
      <c r="UB143"/>
      <c r="UC143"/>
      <c r="UD143"/>
      <c r="UE143"/>
      <c r="UF143"/>
      <c r="UG143"/>
      <c r="UH143"/>
      <c r="UI143"/>
      <c r="UJ143"/>
      <c r="UK143"/>
      <c r="UL143"/>
      <c r="UM143"/>
      <c r="UN143"/>
      <c r="UO143"/>
      <c r="UP143"/>
      <c r="UQ143"/>
      <c r="UR143"/>
      <c r="US143"/>
      <c r="UT143"/>
      <c r="UU143"/>
      <c r="UV143"/>
      <c r="UW143"/>
      <c r="UX143"/>
      <c r="UY143"/>
      <c r="UZ143"/>
      <c r="VA143"/>
      <c r="VB143"/>
      <c r="VC143"/>
      <c r="VD143"/>
      <c r="VE143"/>
      <c r="VF143"/>
      <c r="VG143"/>
    </row>
    <row r="144" spans="1:579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/>
      <c r="QG144"/>
      <c r="QH144"/>
      <c r="QI144"/>
      <c r="QJ144"/>
      <c r="QK144"/>
      <c r="QL144"/>
      <c r="QM144"/>
      <c r="QN144"/>
      <c r="QO144"/>
      <c r="QP144"/>
      <c r="QQ144"/>
      <c r="QR144"/>
      <c r="QS144"/>
      <c r="QT144"/>
      <c r="QU144"/>
      <c r="QV144"/>
      <c r="QW144"/>
      <c r="QX144"/>
      <c r="QY144"/>
      <c r="QZ144"/>
      <c r="RA144"/>
      <c r="RB144"/>
      <c r="RC144"/>
      <c r="RD144"/>
      <c r="RE144"/>
      <c r="RF144"/>
      <c r="RG144"/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/>
      <c r="RW144"/>
      <c r="RX144"/>
      <c r="RY144"/>
      <c r="RZ144"/>
      <c r="SA144"/>
      <c r="SB144"/>
      <c r="SC144"/>
      <c r="SD144"/>
      <c r="SE144"/>
      <c r="SF144"/>
      <c r="SG144"/>
      <c r="SH144"/>
      <c r="SI144"/>
      <c r="SJ144"/>
      <c r="SK144"/>
      <c r="SL144"/>
      <c r="SM144"/>
      <c r="SN144"/>
      <c r="SO144"/>
      <c r="SP144"/>
      <c r="SQ144"/>
      <c r="SR144"/>
      <c r="SS144"/>
      <c r="ST144"/>
      <c r="SU144"/>
      <c r="SV144"/>
      <c r="SW144"/>
      <c r="SX144"/>
      <c r="SY144"/>
      <c r="SZ144"/>
      <c r="TA144"/>
      <c r="TB144"/>
      <c r="TC144"/>
      <c r="TD144"/>
      <c r="TE144"/>
      <c r="TF144"/>
      <c r="TG144"/>
      <c r="TH144"/>
      <c r="TI144"/>
      <c r="TJ144"/>
      <c r="TK144"/>
      <c r="TL144"/>
      <c r="TM144"/>
      <c r="TN144"/>
      <c r="TO144"/>
      <c r="TP144"/>
      <c r="TQ144"/>
      <c r="TR144"/>
      <c r="TS144"/>
      <c r="TT144"/>
      <c r="TU144"/>
      <c r="TV144"/>
      <c r="TW144"/>
      <c r="TX144"/>
      <c r="TY144"/>
      <c r="TZ144"/>
      <c r="UA144"/>
      <c r="UB144"/>
      <c r="UC144"/>
      <c r="UD144"/>
      <c r="UE144"/>
      <c r="UF144"/>
      <c r="UG144"/>
      <c r="UH144"/>
      <c r="UI144"/>
      <c r="UJ144"/>
      <c r="UK144"/>
      <c r="UL144"/>
      <c r="UM144"/>
      <c r="UN144"/>
      <c r="UO144"/>
      <c r="UP144"/>
      <c r="UQ144"/>
      <c r="UR144"/>
      <c r="US144"/>
      <c r="UT144"/>
      <c r="UU144"/>
      <c r="UV144"/>
      <c r="UW144"/>
      <c r="UX144"/>
      <c r="UY144"/>
      <c r="UZ144"/>
      <c r="VA144"/>
      <c r="VB144"/>
      <c r="VC144"/>
      <c r="VD144"/>
      <c r="VE144"/>
      <c r="VF144"/>
      <c r="VG144"/>
    </row>
    <row r="145" spans="1:579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/>
      <c r="NH145"/>
      <c r="NI145"/>
      <c r="NJ145"/>
      <c r="NK145"/>
      <c r="NL145"/>
      <c r="NM145"/>
      <c r="NN145"/>
      <c r="NO145"/>
      <c r="NP145"/>
      <c r="NQ145"/>
      <c r="NR145"/>
      <c r="NS145"/>
      <c r="NT145"/>
      <c r="NU145"/>
      <c r="NV145"/>
      <c r="NW145"/>
      <c r="NX145"/>
      <c r="NY145"/>
      <c r="NZ145"/>
      <c r="OA145"/>
      <c r="OB145"/>
      <c r="OC145"/>
      <c r="OD145"/>
      <c r="OE145"/>
      <c r="OF145"/>
      <c r="OG145"/>
      <c r="OH145"/>
      <c r="OI145"/>
      <c r="OJ145"/>
      <c r="OK145"/>
      <c r="OL145"/>
      <c r="OM145"/>
      <c r="ON145"/>
      <c r="OO145"/>
      <c r="OP145"/>
      <c r="OQ145"/>
      <c r="OR145"/>
      <c r="OS145"/>
      <c r="OT145"/>
      <c r="OU145"/>
      <c r="OV145"/>
      <c r="OW145"/>
      <c r="OX145"/>
      <c r="OY145"/>
      <c r="OZ145"/>
      <c r="PA145"/>
      <c r="PB145"/>
      <c r="PC145"/>
      <c r="PD145"/>
      <c r="PE145"/>
      <c r="PF145"/>
      <c r="PG145"/>
      <c r="PH145"/>
      <c r="PI145"/>
      <c r="PJ145"/>
      <c r="PK145"/>
      <c r="PL145"/>
      <c r="PM145"/>
      <c r="PN145"/>
      <c r="PO145"/>
      <c r="PP145"/>
      <c r="PQ145"/>
      <c r="PR145"/>
      <c r="PS145"/>
      <c r="PT145"/>
      <c r="PU145"/>
      <c r="PV145"/>
      <c r="PW145"/>
      <c r="PX145"/>
      <c r="PY145"/>
      <c r="PZ145"/>
      <c r="QA145"/>
      <c r="QB145"/>
      <c r="QC145"/>
      <c r="QD145"/>
      <c r="QE145"/>
      <c r="QF145"/>
      <c r="QG145"/>
      <c r="QH145"/>
      <c r="QI145"/>
      <c r="QJ145"/>
      <c r="QK145"/>
      <c r="QL145"/>
      <c r="QM145"/>
      <c r="QN145"/>
      <c r="QO145"/>
      <c r="QP145"/>
      <c r="QQ145"/>
      <c r="QR145"/>
      <c r="QS145"/>
      <c r="QT145"/>
      <c r="QU145"/>
      <c r="QV145"/>
      <c r="QW145"/>
      <c r="QX145"/>
      <c r="QY145"/>
      <c r="QZ145"/>
      <c r="RA145"/>
      <c r="RB145"/>
      <c r="RC145"/>
      <c r="RD145"/>
      <c r="RE145"/>
      <c r="RF145"/>
      <c r="RG145"/>
      <c r="RH145"/>
      <c r="RI145"/>
      <c r="RJ145"/>
      <c r="RK145"/>
      <c r="RL145"/>
      <c r="RM145"/>
      <c r="RN145"/>
      <c r="RO145"/>
      <c r="RP145"/>
      <c r="RQ145"/>
      <c r="RR145"/>
      <c r="RS145"/>
      <c r="RT145"/>
      <c r="RU145"/>
      <c r="RV145"/>
      <c r="RW145"/>
      <c r="RX145"/>
      <c r="RY145"/>
      <c r="RZ145"/>
      <c r="SA145"/>
      <c r="SB145"/>
      <c r="SC145"/>
      <c r="SD145"/>
      <c r="SE145"/>
      <c r="SF145"/>
      <c r="SG145"/>
      <c r="SH145"/>
      <c r="SI145"/>
      <c r="SJ145"/>
      <c r="SK145"/>
      <c r="SL145"/>
      <c r="SM145"/>
      <c r="SN145"/>
      <c r="SO145"/>
      <c r="SP145"/>
      <c r="SQ145"/>
      <c r="SR145"/>
      <c r="SS145"/>
      <c r="ST145"/>
      <c r="SU145"/>
      <c r="SV145"/>
      <c r="SW145"/>
      <c r="SX145"/>
      <c r="SY145"/>
      <c r="SZ145"/>
      <c r="TA145"/>
      <c r="TB145"/>
      <c r="TC145"/>
      <c r="TD145"/>
      <c r="TE145"/>
      <c r="TF145"/>
      <c r="TG145"/>
      <c r="TH145"/>
      <c r="TI145"/>
      <c r="TJ145"/>
      <c r="TK145"/>
      <c r="TL145"/>
      <c r="TM145"/>
      <c r="TN145"/>
      <c r="TO145"/>
      <c r="TP145"/>
      <c r="TQ145"/>
      <c r="TR145"/>
      <c r="TS145"/>
      <c r="TT145"/>
      <c r="TU145"/>
      <c r="TV145"/>
      <c r="TW145"/>
      <c r="TX145"/>
      <c r="TY145"/>
      <c r="TZ145"/>
      <c r="UA145"/>
      <c r="UB145"/>
      <c r="UC145"/>
      <c r="UD145"/>
      <c r="UE145"/>
      <c r="UF145"/>
      <c r="UG145"/>
      <c r="UH145"/>
      <c r="UI145"/>
      <c r="UJ145"/>
      <c r="UK145"/>
      <c r="UL145"/>
      <c r="UM145"/>
      <c r="UN145"/>
      <c r="UO145"/>
      <c r="UP145"/>
      <c r="UQ145"/>
      <c r="UR145"/>
      <c r="US145"/>
      <c r="UT145"/>
      <c r="UU145"/>
      <c r="UV145"/>
      <c r="UW145"/>
      <c r="UX145"/>
      <c r="UY145"/>
      <c r="UZ145"/>
      <c r="VA145"/>
      <c r="VB145"/>
      <c r="VC145"/>
      <c r="VD145"/>
      <c r="VE145"/>
      <c r="VF145"/>
      <c r="VG145"/>
    </row>
    <row r="146" spans="1:579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/>
      <c r="NX146"/>
      <c r="NY146"/>
      <c r="NZ146"/>
      <c r="OA146"/>
      <c r="OB146"/>
      <c r="OC146"/>
      <c r="OD146"/>
      <c r="OE146"/>
      <c r="OF146"/>
      <c r="OG146"/>
      <c r="OH146"/>
      <c r="OI146"/>
      <c r="OJ146"/>
      <c r="OK146"/>
      <c r="OL146"/>
      <c r="OM146"/>
      <c r="ON146"/>
      <c r="OO146"/>
      <c r="OP146"/>
      <c r="OQ146"/>
      <c r="OR146"/>
      <c r="OS146"/>
      <c r="OT146"/>
      <c r="OU146"/>
      <c r="OV146"/>
      <c r="OW146"/>
      <c r="OX146"/>
      <c r="OY146"/>
      <c r="OZ146"/>
      <c r="PA146"/>
      <c r="PB146"/>
      <c r="PC146"/>
      <c r="PD146"/>
      <c r="PE146"/>
      <c r="PF146"/>
      <c r="PG146"/>
      <c r="PH146"/>
      <c r="PI146"/>
      <c r="PJ146"/>
      <c r="PK146"/>
      <c r="PL146"/>
      <c r="PM146"/>
      <c r="PN146"/>
      <c r="PO146"/>
      <c r="PP146"/>
      <c r="PQ146"/>
      <c r="PR146"/>
      <c r="PS146"/>
      <c r="PT146"/>
      <c r="PU146"/>
      <c r="PV146"/>
      <c r="PW146"/>
      <c r="PX146"/>
      <c r="PY146"/>
      <c r="PZ146"/>
      <c r="QA146"/>
      <c r="QB146"/>
      <c r="QC146"/>
      <c r="QD146"/>
      <c r="QE146"/>
      <c r="QF146"/>
      <c r="QG146"/>
      <c r="QH146"/>
      <c r="QI146"/>
      <c r="QJ146"/>
      <c r="QK146"/>
      <c r="QL146"/>
      <c r="QM146"/>
      <c r="QN146"/>
      <c r="QO146"/>
      <c r="QP146"/>
      <c r="QQ146"/>
      <c r="QR146"/>
      <c r="QS146"/>
      <c r="QT146"/>
      <c r="QU146"/>
      <c r="QV146"/>
      <c r="QW146"/>
      <c r="QX146"/>
      <c r="QY146"/>
      <c r="QZ146"/>
      <c r="RA146"/>
      <c r="RB146"/>
      <c r="RC146"/>
      <c r="RD146"/>
      <c r="RE146"/>
      <c r="RF146"/>
      <c r="RG146"/>
      <c r="RH146"/>
      <c r="RI146"/>
      <c r="RJ146"/>
      <c r="RK146"/>
      <c r="RL146"/>
      <c r="RM146"/>
      <c r="RN146"/>
      <c r="RO146"/>
      <c r="RP146"/>
      <c r="RQ146"/>
      <c r="RR146"/>
      <c r="RS146"/>
      <c r="RT146"/>
      <c r="RU146"/>
      <c r="RV146"/>
      <c r="RW146"/>
      <c r="RX146"/>
      <c r="RY146"/>
      <c r="RZ146"/>
      <c r="SA146"/>
      <c r="SB146"/>
      <c r="SC146"/>
      <c r="SD146"/>
      <c r="SE146"/>
      <c r="SF146"/>
      <c r="SG146"/>
      <c r="SH146"/>
      <c r="SI146"/>
      <c r="SJ146"/>
      <c r="SK146"/>
      <c r="SL146"/>
      <c r="SM146"/>
      <c r="SN146"/>
      <c r="SO146"/>
      <c r="SP146"/>
      <c r="SQ146"/>
      <c r="SR146"/>
      <c r="SS146"/>
      <c r="ST146"/>
      <c r="SU146"/>
      <c r="SV146"/>
      <c r="SW146"/>
      <c r="SX146"/>
      <c r="SY146"/>
      <c r="SZ146"/>
      <c r="TA146"/>
      <c r="TB146"/>
      <c r="TC146"/>
      <c r="TD146"/>
      <c r="TE146"/>
      <c r="TF146"/>
      <c r="TG146"/>
      <c r="TH146"/>
      <c r="TI146"/>
      <c r="TJ146"/>
      <c r="TK146"/>
      <c r="TL146"/>
      <c r="TM146"/>
      <c r="TN146"/>
      <c r="TO146"/>
      <c r="TP146"/>
      <c r="TQ146"/>
      <c r="TR146"/>
      <c r="TS146"/>
      <c r="TT146"/>
      <c r="TU146"/>
      <c r="TV146"/>
      <c r="TW146"/>
      <c r="TX146"/>
      <c r="TY146"/>
      <c r="TZ146"/>
      <c r="UA146"/>
      <c r="UB146"/>
      <c r="UC146"/>
      <c r="UD146"/>
      <c r="UE146"/>
      <c r="UF146"/>
      <c r="UG146"/>
      <c r="UH146"/>
      <c r="UI146"/>
      <c r="UJ146"/>
      <c r="UK146"/>
      <c r="UL146"/>
      <c r="UM146"/>
      <c r="UN146"/>
      <c r="UO146"/>
      <c r="UP146"/>
      <c r="UQ146"/>
      <c r="UR146"/>
      <c r="US146"/>
      <c r="UT146"/>
      <c r="UU146"/>
      <c r="UV146"/>
      <c r="UW146"/>
      <c r="UX146"/>
      <c r="UY146"/>
      <c r="UZ146"/>
      <c r="VA146"/>
      <c r="VB146"/>
      <c r="VC146"/>
      <c r="VD146"/>
      <c r="VE146"/>
      <c r="VF146"/>
      <c r="VG146"/>
    </row>
    <row r="147" spans="1:579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/>
      <c r="OP147"/>
      <c r="OQ147"/>
      <c r="OR147"/>
      <c r="OS147"/>
      <c r="OT147"/>
      <c r="OU147"/>
      <c r="OV147"/>
      <c r="OW147"/>
      <c r="OX147"/>
      <c r="OY147"/>
      <c r="OZ147"/>
      <c r="PA147"/>
      <c r="PB147"/>
      <c r="PC147"/>
      <c r="PD147"/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  <c r="PU147"/>
      <c r="PV147"/>
      <c r="PW147"/>
      <c r="PX147"/>
      <c r="PY147"/>
      <c r="PZ147"/>
      <c r="QA147"/>
      <c r="QB147"/>
      <c r="QC147"/>
      <c r="QD147"/>
      <c r="QE147"/>
      <c r="QF147"/>
      <c r="QG147"/>
      <c r="QH147"/>
      <c r="QI147"/>
      <c r="QJ147"/>
      <c r="QK147"/>
      <c r="QL147"/>
      <c r="QM147"/>
      <c r="QN147"/>
      <c r="QO147"/>
      <c r="QP147"/>
      <c r="QQ147"/>
      <c r="QR147"/>
      <c r="QS147"/>
      <c r="QT147"/>
      <c r="QU147"/>
      <c r="QV147"/>
      <c r="QW147"/>
      <c r="QX147"/>
      <c r="QY147"/>
      <c r="QZ147"/>
      <c r="RA147"/>
      <c r="RB147"/>
      <c r="RC147"/>
      <c r="RD147"/>
      <c r="RE147"/>
      <c r="RF147"/>
      <c r="RG147"/>
      <c r="RH147"/>
      <c r="RI147"/>
      <c r="RJ147"/>
      <c r="RK147"/>
      <c r="RL147"/>
      <c r="RM147"/>
      <c r="RN147"/>
      <c r="RO147"/>
      <c r="RP147"/>
      <c r="RQ147"/>
      <c r="RR147"/>
      <c r="RS147"/>
      <c r="RT147"/>
      <c r="RU147"/>
      <c r="RV147"/>
      <c r="RW147"/>
      <c r="RX147"/>
      <c r="RY147"/>
      <c r="RZ147"/>
      <c r="SA147"/>
      <c r="SB147"/>
      <c r="SC147"/>
      <c r="SD147"/>
      <c r="SE147"/>
      <c r="SF147"/>
      <c r="SG147"/>
      <c r="SH147"/>
      <c r="SI147"/>
      <c r="SJ147"/>
      <c r="SK147"/>
      <c r="SL147"/>
      <c r="SM147"/>
      <c r="SN147"/>
      <c r="SO147"/>
      <c r="SP147"/>
      <c r="SQ147"/>
      <c r="SR147"/>
      <c r="SS147"/>
      <c r="ST147"/>
      <c r="SU147"/>
      <c r="SV147"/>
      <c r="SW147"/>
      <c r="SX147"/>
      <c r="SY147"/>
      <c r="SZ147"/>
      <c r="TA147"/>
      <c r="TB147"/>
      <c r="TC147"/>
      <c r="TD147"/>
      <c r="TE147"/>
      <c r="TF147"/>
      <c r="TG147"/>
      <c r="TH147"/>
      <c r="TI147"/>
      <c r="TJ147"/>
      <c r="TK147"/>
      <c r="TL147"/>
      <c r="TM147"/>
      <c r="TN147"/>
      <c r="TO147"/>
      <c r="TP147"/>
      <c r="TQ147"/>
      <c r="TR147"/>
      <c r="TS147"/>
      <c r="TT147"/>
      <c r="TU147"/>
      <c r="TV147"/>
      <c r="TW147"/>
      <c r="TX147"/>
      <c r="TY147"/>
      <c r="TZ147"/>
      <c r="UA147"/>
      <c r="UB147"/>
      <c r="UC147"/>
      <c r="UD147"/>
      <c r="UE147"/>
      <c r="UF147"/>
      <c r="UG147"/>
      <c r="UH147"/>
      <c r="UI147"/>
      <c r="UJ147"/>
      <c r="UK147"/>
      <c r="UL147"/>
      <c r="UM147"/>
      <c r="UN147"/>
      <c r="UO147"/>
      <c r="UP147"/>
      <c r="UQ147"/>
      <c r="UR147"/>
      <c r="US147"/>
      <c r="UT147"/>
      <c r="UU147"/>
      <c r="UV147"/>
      <c r="UW147"/>
      <c r="UX147"/>
      <c r="UY147"/>
      <c r="UZ147"/>
      <c r="VA147"/>
      <c r="VB147"/>
      <c r="VC147"/>
      <c r="VD147"/>
      <c r="VE147"/>
      <c r="VF147"/>
      <c r="VG147"/>
    </row>
    <row r="148" spans="1:579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/>
      <c r="NO148"/>
      <c r="NP148"/>
      <c r="NQ148"/>
      <c r="NR148"/>
      <c r="NS148"/>
      <c r="NT148"/>
      <c r="NU148"/>
      <c r="NV148"/>
      <c r="NW148"/>
      <c r="NX148"/>
      <c r="NY148"/>
      <c r="NZ148"/>
      <c r="OA148"/>
      <c r="OB148"/>
      <c r="OC148"/>
      <c r="OD148"/>
      <c r="OE148"/>
      <c r="OF148"/>
      <c r="OG148"/>
      <c r="OH148"/>
      <c r="OI148"/>
      <c r="OJ148"/>
      <c r="OK148"/>
      <c r="OL148"/>
      <c r="OM148"/>
      <c r="ON148"/>
      <c r="OO148"/>
      <c r="OP148"/>
      <c r="OQ148"/>
      <c r="OR148"/>
      <c r="OS148"/>
      <c r="OT148"/>
      <c r="OU148"/>
      <c r="OV148"/>
      <c r="OW148"/>
      <c r="OX148"/>
      <c r="OY148"/>
      <c r="OZ148"/>
      <c r="PA148"/>
      <c r="PB148"/>
      <c r="PC148"/>
      <c r="PD148"/>
      <c r="PE148"/>
      <c r="PF148"/>
      <c r="PG148"/>
      <c r="PH148"/>
      <c r="PI148"/>
      <c r="PJ148"/>
      <c r="PK148"/>
      <c r="PL148"/>
      <c r="PM148"/>
      <c r="PN148"/>
      <c r="PO148"/>
      <c r="PP148"/>
      <c r="PQ148"/>
      <c r="PR148"/>
      <c r="PS148"/>
      <c r="PT148"/>
      <c r="PU148"/>
      <c r="PV148"/>
      <c r="PW148"/>
      <c r="PX148"/>
      <c r="PY148"/>
      <c r="PZ148"/>
      <c r="QA148"/>
      <c r="QB148"/>
      <c r="QC148"/>
      <c r="QD148"/>
      <c r="QE148"/>
      <c r="QF148"/>
      <c r="QG148"/>
      <c r="QH148"/>
      <c r="QI148"/>
      <c r="QJ148"/>
      <c r="QK148"/>
      <c r="QL148"/>
      <c r="QM148"/>
      <c r="QN148"/>
      <c r="QO148"/>
      <c r="QP148"/>
      <c r="QQ148"/>
      <c r="QR148"/>
      <c r="QS148"/>
      <c r="QT148"/>
      <c r="QU148"/>
      <c r="QV148"/>
      <c r="QW148"/>
      <c r="QX148"/>
      <c r="QY148"/>
      <c r="QZ148"/>
      <c r="RA148"/>
      <c r="RB148"/>
      <c r="RC148"/>
      <c r="RD148"/>
      <c r="RE148"/>
      <c r="RF148"/>
      <c r="RG148"/>
      <c r="RH148"/>
      <c r="RI148"/>
      <c r="RJ148"/>
      <c r="RK148"/>
      <c r="RL148"/>
      <c r="RM148"/>
      <c r="RN148"/>
      <c r="RO148"/>
      <c r="RP148"/>
      <c r="RQ148"/>
      <c r="RR148"/>
      <c r="RS148"/>
      <c r="RT148"/>
      <c r="RU148"/>
      <c r="RV148"/>
      <c r="RW148"/>
      <c r="RX148"/>
      <c r="RY148"/>
      <c r="RZ148"/>
      <c r="SA148"/>
      <c r="SB148"/>
      <c r="SC148"/>
      <c r="SD148"/>
      <c r="SE148"/>
      <c r="SF148"/>
      <c r="SG148"/>
      <c r="SH148"/>
      <c r="SI148"/>
      <c r="SJ148"/>
      <c r="SK148"/>
      <c r="SL148"/>
      <c r="SM148"/>
      <c r="SN148"/>
      <c r="SO148"/>
      <c r="SP148"/>
      <c r="SQ148"/>
      <c r="SR148"/>
      <c r="SS148"/>
      <c r="ST148"/>
      <c r="SU148"/>
      <c r="SV148"/>
      <c r="SW148"/>
      <c r="SX148"/>
      <c r="SY148"/>
      <c r="SZ148"/>
      <c r="TA148"/>
      <c r="TB148"/>
      <c r="TC148"/>
      <c r="TD148"/>
      <c r="TE148"/>
      <c r="TF148"/>
      <c r="TG148"/>
      <c r="TH148"/>
      <c r="TI148"/>
      <c r="TJ148"/>
      <c r="TK148"/>
      <c r="TL148"/>
      <c r="TM148"/>
      <c r="TN148"/>
      <c r="TO148"/>
      <c r="TP148"/>
      <c r="TQ148"/>
      <c r="TR148"/>
      <c r="TS148"/>
      <c r="TT148"/>
      <c r="TU148"/>
      <c r="TV148"/>
      <c r="TW148"/>
      <c r="TX148"/>
      <c r="TY148"/>
      <c r="TZ148"/>
      <c r="UA148"/>
      <c r="UB148"/>
      <c r="UC148"/>
      <c r="UD148"/>
      <c r="UE148"/>
      <c r="UF148"/>
      <c r="UG148"/>
      <c r="UH148"/>
      <c r="UI148"/>
      <c r="UJ148"/>
      <c r="UK148"/>
      <c r="UL148"/>
      <c r="UM148"/>
      <c r="UN148"/>
      <c r="UO148"/>
      <c r="UP148"/>
      <c r="UQ148"/>
      <c r="UR148"/>
      <c r="US148"/>
      <c r="UT148"/>
      <c r="UU148"/>
      <c r="UV148"/>
      <c r="UW148"/>
      <c r="UX148"/>
      <c r="UY148"/>
      <c r="UZ148"/>
      <c r="VA148"/>
      <c r="VB148"/>
      <c r="VC148"/>
      <c r="VD148"/>
      <c r="VE148"/>
      <c r="VF148"/>
      <c r="VG148"/>
    </row>
    <row r="149" spans="1:579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/>
      <c r="NY149"/>
      <c r="NZ149"/>
      <c r="OA149"/>
      <c r="OB149"/>
      <c r="OC149"/>
      <c r="OD149"/>
      <c r="OE149"/>
      <c r="OF149"/>
      <c r="OG149"/>
      <c r="OH149"/>
      <c r="OI149"/>
      <c r="OJ149"/>
      <c r="OK149"/>
      <c r="OL149"/>
      <c r="OM149"/>
      <c r="ON149"/>
      <c r="OO149"/>
      <c r="OP149"/>
      <c r="OQ149"/>
      <c r="OR149"/>
      <c r="OS149"/>
      <c r="OT149"/>
      <c r="OU149"/>
      <c r="OV149"/>
      <c r="OW149"/>
      <c r="OX149"/>
      <c r="OY149"/>
      <c r="OZ149"/>
      <c r="PA149"/>
      <c r="PB149"/>
      <c r="PC149"/>
      <c r="PD149"/>
      <c r="PE149"/>
      <c r="PF149"/>
      <c r="PG149"/>
      <c r="PH149"/>
      <c r="PI149"/>
      <c r="PJ149"/>
      <c r="PK149"/>
      <c r="PL149"/>
      <c r="PM149"/>
      <c r="PN149"/>
      <c r="PO149"/>
      <c r="PP149"/>
      <c r="PQ149"/>
      <c r="PR149"/>
      <c r="PS149"/>
      <c r="PT149"/>
      <c r="PU149"/>
      <c r="PV149"/>
      <c r="PW149"/>
      <c r="PX149"/>
      <c r="PY149"/>
      <c r="PZ149"/>
      <c r="QA149"/>
      <c r="QB149"/>
      <c r="QC149"/>
      <c r="QD149"/>
      <c r="QE149"/>
      <c r="QF149"/>
      <c r="QG149"/>
      <c r="QH149"/>
      <c r="QI149"/>
      <c r="QJ149"/>
      <c r="QK149"/>
      <c r="QL149"/>
      <c r="QM149"/>
      <c r="QN149"/>
      <c r="QO149"/>
      <c r="QP149"/>
      <c r="QQ149"/>
      <c r="QR149"/>
      <c r="QS149"/>
      <c r="QT149"/>
      <c r="QU149"/>
      <c r="QV149"/>
      <c r="QW149"/>
      <c r="QX149"/>
      <c r="QY149"/>
      <c r="QZ149"/>
      <c r="RA149"/>
      <c r="RB149"/>
      <c r="RC149"/>
      <c r="RD149"/>
      <c r="RE149"/>
      <c r="RF149"/>
      <c r="RG149"/>
      <c r="RH149"/>
      <c r="RI149"/>
      <c r="RJ149"/>
      <c r="RK149"/>
      <c r="RL149"/>
      <c r="RM149"/>
      <c r="RN149"/>
      <c r="RO149"/>
      <c r="RP149"/>
      <c r="RQ149"/>
      <c r="RR149"/>
      <c r="RS149"/>
      <c r="RT149"/>
      <c r="RU149"/>
      <c r="RV149"/>
      <c r="RW149"/>
      <c r="RX149"/>
      <c r="RY149"/>
      <c r="RZ149"/>
      <c r="SA149"/>
      <c r="SB149"/>
      <c r="SC149"/>
      <c r="SD149"/>
      <c r="SE149"/>
      <c r="SF149"/>
      <c r="SG149"/>
      <c r="SH149"/>
      <c r="SI149"/>
      <c r="SJ149"/>
      <c r="SK149"/>
      <c r="SL149"/>
      <c r="SM149"/>
      <c r="SN149"/>
      <c r="SO149"/>
      <c r="SP149"/>
      <c r="SQ149"/>
      <c r="SR149"/>
      <c r="SS149"/>
      <c r="ST149"/>
      <c r="SU149"/>
      <c r="SV149"/>
      <c r="SW149"/>
      <c r="SX149"/>
      <c r="SY149"/>
      <c r="SZ149"/>
      <c r="TA149"/>
      <c r="TB149"/>
      <c r="TC149"/>
      <c r="TD149"/>
      <c r="TE149"/>
      <c r="TF149"/>
      <c r="TG149"/>
      <c r="TH149"/>
      <c r="TI149"/>
      <c r="TJ149"/>
      <c r="TK149"/>
      <c r="TL149"/>
      <c r="TM149"/>
      <c r="TN149"/>
      <c r="TO149"/>
      <c r="TP149"/>
      <c r="TQ149"/>
      <c r="TR149"/>
      <c r="TS149"/>
      <c r="TT149"/>
      <c r="TU149"/>
      <c r="TV149"/>
      <c r="TW149"/>
      <c r="TX149"/>
      <c r="TY149"/>
      <c r="TZ149"/>
      <c r="UA149"/>
      <c r="UB149"/>
      <c r="UC149"/>
      <c r="UD149"/>
      <c r="UE149"/>
      <c r="UF149"/>
      <c r="UG149"/>
      <c r="UH149"/>
      <c r="UI149"/>
      <c r="UJ149"/>
      <c r="UK149"/>
      <c r="UL149"/>
      <c r="UM149"/>
      <c r="UN149"/>
      <c r="UO149"/>
      <c r="UP149"/>
      <c r="UQ149"/>
      <c r="UR149"/>
      <c r="US149"/>
      <c r="UT149"/>
      <c r="UU149"/>
      <c r="UV149"/>
      <c r="UW149"/>
      <c r="UX149"/>
      <c r="UY149"/>
      <c r="UZ149"/>
      <c r="VA149"/>
      <c r="VB149"/>
      <c r="VC149"/>
      <c r="VD149"/>
      <c r="VE149"/>
      <c r="VF149"/>
      <c r="VG149"/>
    </row>
    <row r="150" spans="1:579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  <c r="NR150"/>
      <c r="NS150"/>
      <c r="NT150"/>
      <c r="NU150"/>
      <c r="NV150"/>
      <c r="NW150"/>
      <c r="NX150"/>
      <c r="NY150"/>
      <c r="NZ150"/>
      <c r="OA150"/>
      <c r="OB150"/>
      <c r="OC150"/>
      <c r="OD150"/>
      <c r="OE150"/>
      <c r="OF150"/>
      <c r="OG150"/>
      <c r="OH150"/>
      <c r="OI150"/>
      <c r="OJ150"/>
      <c r="OK150"/>
      <c r="OL150"/>
      <c r="OM150"/>
      <c r="ON150"/>
      <c r="OO150"/>
      <c r="OP150"/>
      <c r="OQ150"/>
      <c r="OR150"/>
      <c r="OS150"/>
      <c r="OT150"/>
      <c r="OU150"/>
      <c r="OV150"/>
      <c r="OW150"/>
      <c r="OX150"/>
      <c r="OY150"/>
      <c r="OZ150"/>
      <c r="PA150"/>
      <c r="PB150"/>
      <c r="PC150"/>
      <c r="PD150"/>
      <c r="PE150"/>
      <c r="PF150"/>
      <c r="PG150"/>
      <c r="PH150"/>
      <c r="PI150"/>
      <c r="PJ150"/>
      <c r="PK150"/>
      <c r="PL150"/>
      <c r="PM150"/>
      <c r="PN150"/>
      <c r="PO150"/>
      <c r="PP150"/>
      <c r="PQ150"/>
      <c r="PR150"/>
      <c r="PS150"/>
      <c r="PT150"/>
      <c r="PU150"/>
      <c r="PV150"/>
      <c r="PW150"/>
      <c r="PX150"/>
      <c r="PY150"/>
      <c r="PZ150"/>
      <c r="QA150"/>
      <c r="QB150"/>
      <c r="QC150"/>
      <c r="QD150"/>
      <c r="QE150"/>
      <c r="QF150"/>
      <c r="QG150"/>
      <c r="QH150"/>
      <c r="QI150"/>
      <c r="QJ150"/>
      <c r="QK150"/>
      <c r="QL150"/>
      <c r="QM150"/>
      <c r="QN150"/>
      <c r="QO150"/>
      <c r="QP150"/>
      <c r="QQ150"/>
      <c r="QR150"/>
      <c r="QS150"/>
      <c r="QT150"/>
      <c r="QU150"/>
      <c r="QV150"/>
      <c r="QW150"/>
      <c r="QX150"/>
      <c r="QY150"/>
      <c r="QZ150"/>
      <c r="RA150"/>
      <c r="RB150"/>
      <c r="RC150"/>
      <c r="RD150"/>
      <c r="RE150"/>
      <c r="RF150"/>
      <c r="RG150"/>
      <c r="RH150"/>
      <c r="RI150"/>
      <c r="RJ150"/>
      <c r="RK150"/>
      <c r="RL150"/>
      <c r="RM150"/>
      <c r="RN150"/>
      <c r="RO150"/>
      <c r="RP150"/>
      <c r="RQ150"/>
      <c r="RR150"/>
      <c r="RS150"/>
      <c r="RT150"/>
      <c r="RU150"/>
      <c r="RV150"/>
      <c r="RW150"/>
      <c r="RX150"/>
      <c r="RY150"/>
      <c r="RZ150"/>
      <c r="SA150"/>
      <c r="SB150"/>
      <c r="SC150"/>
      <c r="SD150"/>
      <c r="SE150"/>
      <c r="SF150"/>
      <c r="SG150"/>
      <c r="SH150"/>
      <c r="SI150"/>
      <c r="SJ150"/>
      <c r="SK150"/>
      <c r="SL150"/>
      <c r="SM150"/>
      <c r="SN150"/>
      <c r="SO150"/>
      <c r="SP150"/>
      <c r="SQ150"/>
      <c r="SR150"/>
      <c r="SS150"/>
      <c r="ST150"/>
      <c r="SU150"/>
      <c r="SV150"/>
      <c r="SW150"/>
      <c r="SX150"/>
      <c r="SY150"/>
      <c r="SZ150"/>
      <c r="TA150"/>
      <c r="TB150"/>
      <c r="TC150"/>
      <c r="TD150"/>
      <c r="TE150"/>
      <c r="TF150"/>
      <c r="TG150"/>
      <c r="TH150"/>
      <c r="TI150"/>
      <c r="TJ150"/>
      <c r="TK150"/>
      <c r="TL150"/>
      <c r="TM150"/>
      <c r="TN150"/>
      <c r="TO150"/>
      <c r="TP150"/>
      <c r="TQ150"/>
      <c r="TR150"/>
      <c r="TS150"/>
      <c r="TT150"/>
      <c r="TU150"/>
      <c r="TV150"/>
      <c r="TW150"/>
      <c r="TX150"/>
      <c r="TY150"/>
      <c r="TZ150"/>
      <c r="UA150"/>
      <c r="UB150"/>
      <c r="UC150"/>
      <c r="UD150"/>
      <c r="UE150"/>
      <c r="UF150"/>
      <c r="UG150"/>
      <c r="UH150"/>
      <c r="UI150"/>
      <c r="UJ150"/>
      <c r="UK150"/>
      <c r="UL150"/>
      <c r="UM150"/>
      <c r="UN150"/>
      <c r="UO150"/>
      <c r="UP150"/>
      <c r="UQ150"/>
      <c r="UR150"/>
      <c r="US150"/>
      <c r="UT150"/>
      <c r="UU150"/>
      <c r="UV150"/>
      <c r="UW150"/>
      <c r="UX150"/>
      <c r="UY150"/>
      <c r="UZ150"/>
      <c r="VA150"/>
      <c r="VB150"/>
      <c r="VC150"/>
      <c r="VD150"/>
      <c r="VE150"/>
      <c r="VF150"/>
      <c r="VG150"/>
    </row>
    <row r="151" spans="1:579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/>
      <c r="NO151"/>
      <c r="NP151"/>
      <c r="NQ151"/>
      <c r="NR151"/>
      <c r="NS151"/>
      <c r="NT151"/>
      <c r="NU151"/>
      <c r="NV151"/>
      <c r="NW151"/>
      <c r="NX151"/>
      <c r="NY151"/>
      <c r="NZ151"/>
      <c r="OA151"/>
      <c r="OB151"/>
      <c r="OC151"/>
      <c r="OD151"/>
      <c r="OE151"/>
      <c r="OF151"/>
      <c r="OG151"/>
      <c r="OH151"/>
      <c r="OI151"/>
      <c r="OJ151"/>
      <c r="OK151"/>
      <c r="OL151"/>
      <c r="OM151"/>
      <c r="ON151"/>
      <c r="OO151"/>
      <c r="OP151"/>
      <c r="OQ151"/>
      <c r="OR151"/>
      <c r="OS151"/>
      <c r="OT151"/>
      <c r="OU151"/>
      <c r="OV151"/>
      <c r="OW151"/>
      <c r="OX151"/>
      <c r="OY151"/>
      <c r="OZ151"/>
      <c r="PA151"/>
      <c r="PB151"/>
      <c r="PC151"/>
      <c r="PD151"/>
      <c r="PE151"/>
      <c r="PF151"/>
      <c r="PG151"/>
      <c r="PH151"/>
      <c r="PI151"/>
      <c r="PJ151"/>
      <c r="PK151"/>
      <c r="PL151"/>
      <c r="PM151"/>
      <c r="PN151"/>
      <c r="PO151"/>
      <c r="PP151"/>
      <c r="PQ151"/>
      <c r="PR151"/>
      <c r="PS151"/>
      <c r="PT151"/>
      <c r="PU151"/>
      <c r="PV151"/>
      <c r="PW151"/>
      <c r="PX151"/>
      <c r="PY151"/>
      <c r="PZ151"/>
      <c r="QA151"/>
      <c r="QB151"/>
      <c r="QC151"/>
      <c r="QD151"/>
      <c r="QE151"/>
      <c r="QF151"/>
      <c r="QG151"/>
      <c r="QH151"/>
      <c r="QI151"/>
      <c r="QJ151"/>
      <c r="QK151"/>
      <c r="QL151"/>
      <c r="QM151"/>
      <c r="QN151"/>
      <c r="QO151"/>
      <c r="QP151"/>
      <c r="QQ151"/>
      <c r="QR151"/>
      <c r="QS151"/>
      <c r="QT151"/>
      <c r="QU151"/>
      <c r="QV151"/>
      <c r="QW151"/>
      <c r="QX151"/>
      <c r="QY151"/>
      <c r="QZ151"/>
      <c r="RA151"/>
      <c r="RB151"/>
      <c r="RC151"/>
      <c r="RD151"/>
      <c r="RE151"/>
      <c r="RF151"/>
      <c r="RG151"/>
      <c r="RH151"/>
      <c r="RI151"/>
      <c r="RJ151"/>
      <c r="RK151"/>
      <c r="RL151"/>
      <c r="RM151"/>
      <c r="RN151"/>
      <c r="RO151"/>
      <c r="RP151"/>
      <c r="RQ151"/>
      <c r="RR151"/>
      <c r="RS151"/>
      <c r="RT151"/>
      <c r="RU151"/>
      <c r="RV151"/>
      <c r="RW151"/>
      <c r="RX151"/>
      <c r="RY151"/>
      <c r="RZ151"/>
      <c r="SA151"/>
      <c r="SB151"/>
      <c r="SC151"/>
      <c r="SD151"/>
      <c r="SE151"/>
      <c r="SF151"/>
      <c r="SG151"/>
      <c r="SH151"/>
      <c r="SI151"/>
      <c r="SJ151"/>
      <c r="SK151"/>
      <c r="SL151"/>
      <c r="SM151"/>
      <c r="SN151"/>
      <c r="SO151"/>
      <c r="SP151"/>
      <c r="SQ151"/>
      <c r="SR151"/>
      <c r="SS151"/>
      <c r="ST151"/>
      <c r="SU151"/>
      <c r="SV151"/>
      <c r="SW151"/>
      <c r="SX151"/>
      <c r="SY151"/>
      <c r="SZ151"/>
      <c r="TA151"/>
      <c r="TB151"/>
      <c r="TC151"/>
      <c r="TD151"/>
      <c r="TE151"/>
      <c r="TF151"/>
      <c r="TG151"/>
      <c r="TH151"/>
      <c r="TI151"/>
      <c r="TJ151"/>
      <c r="TK151"/>
      <c r="TL151"/>
      <c r="TM151"/>
      <c r="TN151"/>
      <c r="TO151"/>
      <c r="TP151"/>
      <c r="TQ151"/>
      <c r="TR151"/>
      <c r="TS151"/>
      <c r="TT151"/>
      <c r="TU151"/>
      <c r="TV151"/>
      <c r="TW151"/>
      <c r="TX151"/>
      <c r="TY151"/>
      <c r="TZ151"/>
      <c r="UA151"/>
      <c r="UB151"/>
      <c r="UC151"/>
      <c r="UD151"/>
      <c r="UE151"/>
      <c r="UF151"/>
      <c r="UG151"/>
      <c r="UH151"/>
      <c r="UI151"/>
      <c r="UJ151"/>
      <c r="UK151"/>
      <c r="UL151"/>
      <c r="UM151"/>
      <c r="UN151"/>
      <c r="UO151"/>
      <c r="UP151"/>
      <c r="UQ151"/>
      <c r="UR151"/>
      <c r="US151"/>
      <c r="UT151"/>
      <c r="UU151"/>
      <c r="UV151"/>
      <c r="UW151"/>
      <c r="UX151"/>
      <c r="UY151"/>
      <c r="UZ151"/>
      <c r="VA151"/>
      <c r="VB151"/>
      <c r="VC151"/>
      <c r="VD151"/>
      <c r="VE151"/>
      <c r="VF151"/>
      <c r="VG151"/>
    </row>
    <row r="152" spans="1:579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/>
      <c r="NO152"/>
      <c r="NP152"/>
      <c r="NQ152"/>
      <c r="NR152"/>
      <c r="NS152"/>
      <c r="NT152"/>
      <c r="NU152"/>
      <c r="NV152"/>
      <c r="NW152"/>
      <c r="NX152"/>
      <c r="NY152"/>
      <c r="NZ152"/>
      <c r="OA152"/>
      <c r="OB152"/>
      <c r="OC152"/>
      <c r="OD152"/>
      <c r="OE152"/>
      <c r="OF152"/>
      <c r="OG152"/>
      <c r="OH152"/>
      <c r="OI152"/>
      <c r="OJ152"/>
      <c r="OK152"/>
      <c r="OL152"/>
      <c r="OM152"/>
      <c r="ON152"/>
      <c r="OO152"/>
      <c r="OP152"/>
      <c r="OQ152"/>
      <c r="OR152"/>
      <c r="OS152"/>
      <c r="OT152"/>
      <c r="OU152"/>
      <c r="OV152"/>
      <c r="OW152"/>
      <c r="OX152"/>
      <c r="OY152"/>
      <c r="OZ152"/>
      <c r="PA152"/>
      <c r="PB152"/>
      <c r="PC152"/>
      <c r="PD152"/>
      <c r="PE152"/>
      <c r="PF152"/>
      <c r="PG152"/>
      <c r="PH152"/>
      <c r="PI152"/>
      <c r="PJ152"/>
      <c r="PK152"/>
      <c r="PL152"/>
      <c r="PM152"/>
      <c r="PN152"/>
      <c r="PO152"/>
      <c r="PP152"/>
      <c r="PQ152"/>
      <c r="PR152"/>
      <c r="PS152"/>
      <c r="PT152"/>
      <c r="PU152"/>
      <c r="PV152"/>
      <c r="PW152"/>
      <c r="PX152"/>
      <c r="PY152"/>
      <c r="PZ152"/>
      <c r="QA152"/>
      <c r="QB152"/>
      <c r="QC152"/>
      <c r="QD152"/>
      <c r="QE152"/>
      <c r="QF152"/>
      <c r="QG152"/>
      <c r="QH152"/>
      <c r="QI152"/>
      <c r="QJ152"/>
      <c r="QK152"/>
      <c r="QL152"/>
      <c r="QM152"/>
      <c r="QN152"/>
      <c r="QO152"/>
      <c r="QP152"/>
      <c r="QQ152"/>
      <c r="QR152"/>
      <c r="QS152"/>
      <c r="QT152"/>
      <c r="QU152"/>
      <c r="QV152"/>
      <c r="QW152"/>
      <c r="QX152"/>
      <c r="QY152"/>
      <c r="QZ152"/>
      <c r="RA152"/>
      <c r="RB152"/>
      <c r="RC152"/>
      <c r="RD152"/>
      <c r="RE152"/>
      <c r="RF152"/>
      <c r="RG152"/>
      <c r="RH152"/>
      <c r="RI152"/>
      <c r="RJ152"/>
      <c r="RK152"/>
      <c r="RL152"/>
      <c r="RM152"/>
      <c r="RN152"/>
      <c r="RO152"/>
      <c r="RP152"/>
      <c r="RQ152"/>
      <c r="RR152"/>
      <c r="RS152"/>
      <c r="RT152"/>
      <c r="RU152"/>
      <c r="RV152"/>
      <c r="RW152"/>
      <c r="RX152"/>
      <c r="RY152"/>
      <c r="RZ152"/>
      <c r="SA152"/>
      <c r="SB152"/>
      <c r="SC152"/>
      <c r="SD152"/>
      <c r="SE152"/>
      <c r="SF152"/>
      <c r="SG152"/>
      <c r="SH152"/>
      <c r="SI152"/>
      <c r="SJ152"/>
      <c r="SK152"/>
      <c r="SL152"/>
      <c r="SM152"/>
      <c r="SN152"/>
      <c r="SO152"/>
      <c r="SP152"/>
      <c r="SQ152"/>
      <c r="SR152"/>
      <c r="SS152"/>
      <c r="ST152"/>
      <c r="SU152"/>
      <c r="SV152"/>
      <c r="SW152"/>
      <c r="SX152"/>
      <c r="SY152"/>
      <c r="SZ152"/>
      <c r="TA152"/>
      <c r="TB152"/>
      <c r="TC152"/>
      <c r="TD152"/>
      <c r="TE152"/>
      <c r="TF152"/>
      <c r="TG152"/>
      <c r="TH152"/>
      <c r="TI152"/>
      <c r="TJ152"/>
      <c r="TK152"/>
      <c r="TL152"/>
      <c r="TM152"/>
      <c r="TN152"/>
      <c r="TO152"/>
      <c r="TP152"/>
      <c r="TQ152"/>
      <c r="TR152"/>
      <c r="TS152"/>
      <c r="TT152"/>
      <c r="TU152"/>
      <c r="TV152"/>
      <c r="TW152"/>
      <c r="TX152"/>
      <c r="TY152"/>
      <c r="TZ152"/>
      <c r="UA152"/>
      <c r="UB152"/>
      <c r="UC152"/>
      <c r="UD152"/>
      <c r="UE152"/>
      <c r="UF152"/>
      <c r="UG152"/>
      <c r="UH152"/>
      <c r="UI152"/>
      <c r="UJ152"/>
      <c r="UK152"/>
      <c r="UL152"/>
      <c r="UM152"/>
      <c r="UN152"/>
      <c r="UO152"/>
      <c r="UP152"/>
      <c r="UQ152"/>
      <c r="UR152"/>
      <c r="US152"/>
      <c r="UT152"/>
      <c r="UU152"/>
      <c r="UV152"/>
      <c r="UW152"/>
      <c r="UX152"/>
      <c r="UY152"/>
      <c r="UZ152"/>
      <c r="VA152"/>
      <c r="VB152"/>
      <c r="VC152"/>
      <c r="VD152"/>
      <c r="VE152"/>
      <c r="VF152"/>
      <c r="VG152"/>
    </row>
    <row r="153" spans="1:579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/>
      <c r="OP153"/>
      <c r="OQ153"/>
      <c r="OR153"/>
      <c r="OS153"/>
      <c r="OT153"/>
      <c r="OU153"/>
      <c r="OV153"/>
      <c r="OW153"/>
      <c r="OX153"/>
      <c r="OY153"/>
      <c r="OZ153"/>
      <c r="PA153"/>
      <c r="PB153"/>
      <c r="PC153"/>
      <c r="PD153"/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  <c r="PU153"/>
      <c r="PV153"/>
      <c r="PW153"/>
      <c r="PX153"/>
      <c r="PY153"/>
      <c r="PZ153"/>
      <c r="QA153"/>
      <c r="QB153"/>
      <c r="QC153"/>
      <c r="QD153"/>
      <c r="QE153"/>
      <c r="QF153"/>
      <c r="QG153"/>
      <c r="QH153"/>
      <c r="QI153"/>
      <c r="QJ153"/>
      <c r="QK153"/>
      <c r="QL153"/>
      <c r="QM153"/>
      <c r="QN153"/>
      <c r="QO153"/>
      <c r="QP153"/>
      <c r="QQ153"/>
      <c r="QR153"/>
      <c r="QS153"/>
      <c r="QT153"/>
      <c r="QU153"/>
      <c r="QV153"/>
      <c r="QW153"/>
      <c r="QX153"/>
      <c r="QY153"/>
      <c r="QZ153"/>
      <c r="RA153"/>
      <c r="RB153"/>
      <c r="RC153"/>
      <c r="RD153"/>
      <c r="RE153"/>
      <c r="RF153"/>
      <c r="RG153"/>
      <c r="RH153"/>
      <c r="RI153"/>
      <c r="RJ153"/>
      <c r="RK153"/>
      <c r="RL153"/>
      <c r="RM153"/>
      <c r="RN153"/>
      <c r="RO153"/>
      <c r="RP153"/>
      <c r="RQ153"/>
      <c r="RR153"/>
      <c r="RS153"/>
      <c r="RT153"/>
      <c r="RU153"/>
      <c r="RV153"/>
      <c r="RW153"/>
      <c r="RX153"/>
      <c r="RY153"/>
      <c r="RZ153"/>
      <c r="SA153"/>
      <c r="SB153"/>
      <c r="SC153"/>
      <c r="SD153"/>
      <c r="SE153"/>
      <c r="SF153"/>
      <c r="SG153"/>
      <c r="SH153"/>
      <c r="SI153"/>
      <c r="SJ153"/>
      <c r="SK153"/>
      <c r="SL153"/>
      <c r="SM153"/>
      <c r="SN153"/>
      <c r="SO153"/>
      <c r="SP153"/>
      <c r="SQ153"/>
      <c r="SR153"/>
      <c r="SS153"/>
      <c r="ST153"/>
      <c r="SU153"/>
      <c r="SV153"/>
      <c r="SW153"/>
      <c r="SX153"/>
      <c r="SY153"/>
      <c r="SZ153"/>
      <c r="TA153"/>
      <c r="TB153"/>
      <c r="TC153"/>
      <c r="TD153"/>
      <c r="TE153"/>
      <c r="TF153"/>
      <c r="TG153"/>
      <c r="TH153"/>
      <c r="TI153"/>
      <c r="TJ153"/>
      <c r="TK153"/>
      <c r="TL153"/>
      <c r="TM153"/>
      <c r="TN153"/>
      <c r="TO153"/>
      <c r="TP153"/>
      <c r="TQ153"/>
      <c r="TR153"/>
      <c r="TS153"/>
      <c r="TT153"/>
      <c r="TU153"/>
      <c r="TV153"/>
      <c r="TW153"/>
      <c r="TX153"/>
      <c r="TY153"/>
      <c r="TZ153"/>
      <c r="UA153"/>
      <c r="UB153"/>
      <c r="UC153"/>
      <c r="UD153"/>
      <c r="UE153"/>
      <c r="UF153"/>
      <c r="UG153"/>
      <c r="UH153"/>
      <c r="UI153"/>
      <c r="UJ153"/>
      <c r="UK153"/>
      <c r="UL153"/>
      <c r="UM153"/>
      <c r="UN153"/>
      <c r="UO153"/>
      <c r="UP153"/>
      <c r="UQ153"/>
      <c r="UR153"/>
      <c r="US153"/>
      <c r="UT153"/>
      <c r="UU153"/>
      <c r="UV153"/>
      <c r="UW153"/>
      <c r="UX153"/>
      <c r="UY153"/>
      <c r="UZ153"/>
      <c r="VA153"/>
      <c r="VB153"/>
      <c r="VC153"/>
      <c r="VD153"/>
      <c r="VE153"/>
      <c r="VF153"/>
      <c r="VG153"/>
    </row>
    <row r="154" spans="1:579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/>
      <c r="NY154"/>
      <c r="NZ154"/>
      <c r="OA154"/>
      <c r="OB154"/>
      <c r="OC154"/>
      <c r="OD154"/>
      <c r="OE154"/>
      <c r="OF154"/>
      <c r="OG154"/>
      <c r="OH154"/>
      <c r="OI154"/>
      <c r="OJ154"/>
      <c r="OK154"/>
      <c r="OL154"/>
      <c r="OM154"/>
      <c r="ON154"/>
      <c r="OO154"/>
      <c r="OP154"/>
      <c r="OQ154"/>
      <c r="OR154"/>
      <c r="OS154"/>
      <c r="OT154"/>
      <c r="OU154"/>
      <c r="OV154"/>
      <c r="OW154"/>
      <c r="OX154"/>
      <c r="OY154"/>
      <c r="OZ154"/>
      <c r="PA154"/>
      <c r="PB154"/>
      <c r="PC154"/>
      <c r="PD154"/>
      <c r="PE154"/>
      <c r="PF154"/>
      <c r="PG154"/>
      <c r="PH154"/>
      <c r="PI154"/>
      <c r="PJ154"/>
      <c r="PK154"/>
      <c r="PL154"/>
      <c r="PM154"/>
      <c r="PN154"/>
      <c r="PO154"/>
      <c r="PP154"/>
      <c r="PQ154"/>
      <c r="PR154"/>
      <c r="PS154"/>
      <c r="PT154"/>
      <c r="PU154"/>
      <c r="PV154"/>
      <c r="PW154"/>
      <c r="PX154"/>
      <c r="PY154"/>
      <c r="PZ154"/>
      <c r="QA154"/>
      <c r="QB154"/>
      <c r="QC154"/>
      <c r="QD154"/>
      <c r="QE154"/>
      <c r="QF154"/>
      <c r="QG154"/>
      <c r="QH154"/>
      <c r="QI154"/>
      <c r="QJ154"/>
      <c r="QK154"/>
      <c r="QL154"/>
      <c r="QM154"/>
      <c r="QN154"/>
      <c r="QO154"/>
      <c r="QP154"/>
      <c r="QQ154"/>
      <c r="QR154"/>
      <c r="QS154"/>
      <c r="QT154"/>
      <c r="QU154"/>
      <c r="QV154"/>
      <c r="QW154"/>
      <c r="QX154"/>
      <c r="QY154"/>
      <c r="QZ154"/>
      <c r="RA154"/>
      <c r="RB154"/>
      <c r="RC154"/>
      <c r="RD154"/>
      <c r="RE154"/>
      <c r="RF154"/>
      <c r="RG154"/>
      <c r="RH154"/>
      <c r="RI154"/>
      <c r="RJ154"/>
      <c r="RK154"/>
      <c r="RL154"/>
      <c r="RM154"/>
      <c r="RN154"/>
      <c r="RO154"/>
      <c r="RP154"/>
      <c r="RQ154"/>
      <c r="RR154"/>
      <c r="RS154"/>
      <c r="RT154"/>
      <c r="RU154"/>
      <c r="RV154"/>
      <c r="RW154"/>
      <c r="RX154"/>
      <c r="RY154"/>
      <c r="RZ154"/>
      <c r="SA154"/>
      <c r="SB154"/>
      <c r="SC154"/>
      <c r="SD154"/>
      <c r="SE154"/>
      <c r="SF154"/>
      <c r="SG154"/>
      <c r="SH154"/>
      <c r="SI154"/>
      <c r="SJ154"/>
      <c r="SK154"/>
      <c r="SL154"/>
      <c r="SM154"/>
      <c r="SN154"/>
      <c r="SO154"/>
      <c r="SP154"/>
      <c r="SQ154"/>
      <c r="SR154"/>
      <c r="SS154"/>
      <c r="ST154"/>
      <c r="SU154"/>
      <c r="SV154"/>
      <c r="SW154"/>
      <c r="SX154"/>
      <c r="SY154"/>
      <c r="SZ154"/>
      <c r="TA154"/>
      <c r="TB154"/>
      <c r="TC154"/>
      <c r="TD154"/>
      <c r="TE154"/>
      <c r="TF154"/>
      <c r="TG154"/>
      <c r="TH154"/>
      <c r="TI154"/>
      <c r="TJ154"/>
      <c r="TK154"/>
      <c r="TL154"/>
      <c r="TM154"/>
      <c r="TN154"/>
      <c r="TO154"/>
      <c r="TP154"/>
      <c r="TQ154"/>
      <c r="TR154"/>
      <c r="TS154"/>
      <c r="TT154"/>
      <c r="TU154"/>
      <c r="TV154"/>
      <c r="TW154"/>
      <c r="TX154"/>
      <c r="TY154"/>
      <c r="TZ154"/>
      <c r="UA154"/>
      <c r="UB154"/>
      <c r="UC154"/>
      <c r="UD154"/>
      <c r="UE154"/>
      <c r="UF154"/>
      <c r="UG154"/>
      <c r="UH154"/>
      <c r="UI154"/>
      <c r="UJ154"/>
      <c r="UK154"/>
      <c r="UL154"/>
      <c r="UM154"/>
      <c r="UN154"/>
      <c r="UO154"/>
      <c r="UP154"/>
      <c r="UQ154"/>
      <c r="UR154"/>
      <c r="US154"/>
      <c r="UT154"/>
      <c r="UU154"/>
      <c r="UV154"/>
      <c r="UW154"/>
      <c r="UX154"/>
      <c r="UY154"/>
      <c r="UZ154"/>
      <c r="VA154"/>
      <c r="VB154"/>
      <c r="VC154"/>
      <c r="VD154"/>
      <c r="VE154"/>
      <c r="VF154"/>
      <c r="VG154"/>
    </row>
    <row r="155" spans="1:579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  <c r="NR155"/>
      <c r="NS155"/>
      <c r="NT155"/>
      <c r="NU155"/>
      <c r="NV155"/>
      <c r="NW155"/>
      <c r="NX155"/>
      <c r="NY155"/>
      <c r="NZ155"/>
      <c r="OA155"/>
      <c r="OB155"/>
      <c r="OC155"/>
      <c r="OD155"/>
      <c r="OE155"/>
      <c r="OF155"/>
      <c r="OG155"/>
      <c r="OH155"/>
      <c r="OI155"/>
      <c r="OJ155"/>
      <c r="OK155"/>
      <c r="OL155"/>
      <c r="OM155"/>
      <c r="ON155"/>
      <c r="OO155"/>
      <c r="OP155"/>
      <c r="OQ155"/>
      <c r="OR155"/>
      <c r="OS155"/>
      <c r="OT155"/>
      <c r="OU155"/>
      <c r="OV155"/>
      <c r="OW155"/>
      <c r="OX155"/>
      <c r="OY155"/>
      <c r="OZ155"/>
      <c r="PA155"/>
      <c r="PB155"/>
      <c r="PC155"/>
      <c r="PD155"/>
      <c r="PE155"/>
      <c r="PF155"/>
      <c r="PG155"/>
      <c r="PH155"/>
      <c r="PI155"/>
      <c r="PJ155"/>
      <c r="PK155"/>
      <c r="PL155"/>
      <c r="PM155"/>
      <c r="PN155"/>
      <c r="PO155"/>
      <c r="PP155"/>
      <c r="PQ155"/>
      <c r="PR155"/>
      <c r="PS155"/>
      <c r="PT155"/>
      <c r="PU155"/>
      <c r="PV155"/>
      <c r="PW155"/>
      <c r="PX155"/>
      <c r="PY155"/>
      <c r="PZ155"/>
      <c r="QA155"/>
      <c r="QB155"/>
      <c r="QC155"/>
      <c r="QD155"/>
      <c r="QE155"/>
      <c r="QF155"/>
      <c r="QG155"/>
      <c r="QH155"/>
      <c r="QI155"/>
      <c r="QJ155"/>
      <c r="QK155"/>
      <c r="QL155"/>
      <c r="QM155"/>
      <c r="QN155"/>
      <c r="QO155"/>
      <c r="QP155"/>
      <c r="QQ155"/>
      <c r="QR155"/>
      <c r="QS155"/>
      <c r="QT155"/>
      <c r="QU155"/>
      <c r="QV155"/>
      <c r="QW155"/>
      <c r="QX155"/>
      <c r="QY155"/>
      <c r="QZ155"/>
      <c r="RA155"/>
      <c r="RB155"/>
      <c r="RC155"/>
      <c r="RD155"/>
      <c r="RE155"/>
      <c r="RF155"/>
      <c r="RG155"/>
      <c r="RH155"/>
      <c r="RI155"/>
      <c r="RJ155"/>
      <c r="RK155"/>
      <c r="RL155"/>
      <c r="RM155"/>
      <c r="RN155"/>
      <c r="RO155"/>
      <c r="RP155"/>
      <c r="RQ155"/>
      <c r="RR155"/>
      <c r="RS155"/>
      <c r="RT155"/>
      <c r="RU155"/>
      <c r="RV155"/>
      <c r="RW155"/>
      <c r="RX155"/>
      <c r="RY155"/>
      <c r="RZ155"/>
      <c r="SA155"/>
      <c r="SB155"/>
      <c r="SC155"/>
      <c r="SD155"/>
      <c r="SE155"/>
      <c r="SF155"/>
      <c r="SG155"/>
      <c r="SH155"/>
      <c r="SI155"/>
      <c r="SJ155"/>
      <c r="SK155"/>
      <c r="SL155"/>
      <c r="SM155"/>
      <c r="SN155"/>
      <c r="SO155"/>
      <c r="SP155"/>
      <c r="SQ155"/>
      <c r="SR155"/>
      <c r="SS155"/>
      <c r="ST155"/>
      <c r="SU155"/>
      <c r="SV155"/>
      <c r="SW155"/>
      <c r="SX155"/>
      <c r="SY155"/>
      <c r="SZ155"/>
      <c r="TA155"/>
      <c r="TB155"/>
      <c r="TC155"/>
      <c r="TD155"/>
      <c r="TE155"/>
      <c r="TF155"/>
      <c r="TG155"/>
      <c r="TH155"/>
      <c r="TI155"/>
      <c r="TJ155"/>
      <c r="TK155"/>
      <c r="TL155"/>
      <c r="TM155"/>
      <c r="TN155"/>
      <c r="TO155"/>
      <c r="TP155"/>
      <c r="TQ155"/>
      <c r="TR155"/>
      <c r="TS155"/>
      <c r="TT155"/>
      <c r="TU155"/>
      <c r="TV155"/>
      <c r="TW155"/>
      <c r="TX155"/>
      <c r="TY155"/>
      <c r="TZ155"/>
      <c r="UA155"/>
      <c r="UB155"/>
      <c r="UC155"/>
      <c r="UD155"/>
      <c r="UE155"/>
      <c r="UF155"/>
      <c r="UG155"/>
      <c r="UH155"/>
      <c r="UI155"/>
      <c r="UJ155"/>
      <c r="UK155"/>
      <c r="UL155"/>
      <c r="UM155"/>
      <c r="UN155"/>
      <c r="UO155"/>
      <c r="UP155"/>
      <c r="UQ155"/>
      <c r="UR155"/>
      <c r="US155"/>
      <c r="UT155"/>
      <c r="UU155"/>
      <c r="UV155"/>
      <c r="UW155"/>
      <c r="UX155"/>
      <c r="UY155"/>
      <c r="UZ155"/>
      <c r="VA155"/>
      <c r="VB155"/>
      <c r="VC155"/>
      <c r="VD155"/>
      <c r="VE155"/>
      <c r="VF155"/>
      <c r="VG155"/>
    </row>
    <row r="156" spans="1:579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  <c r="NW156"/>
      <c r="NX156"/>
      <c r="NY156"/>
      <c r="NZ156"/>
      <c r="OA156"/>
      <c r="OB156"/>
      <c r="OC156"/>
      <c r="OD156"/>
      <c r="OE156"/>
      <c r="OF156"/>
      <c r="OG156"/>
      <c r="OH156"/>
      <c r="OI156"/>
      <c r="OJ156"/>
      <c r="OK156"/>
      <c r="OL156"/>
      <c r="OM156"/>
      <c r="ON156"/>
      <c r="OO156"/>
      <c r="OP156"/>
      <c r="OQ156"/>
      <c r="OR156"/>
      <c r="OS156"/>
      <c r="OT156"/>
      <c r="OU156"/>
      <c r="OV156"/>
      <c r="OW156"/>
      <c r="OX156"/>
      <c r="OY156"/>
      <c r="OZ156"/>
      <c r="PA156"/>
      <c r="PB156"/>
      <c r="PC156"/>
      <c r="PD156"/>
      <c r="PE156"/>
      <c r="PF156"/>
      <c r="PG156"/>
      <c r="PH156"/>
      <c r="PI156"/>
      <c r="PJ156"/>
      <c r="PK156"/>
      <c r="PL156"/>
      <c r="PM156"/>
      <c r="PN156"/>
      <c r="PO156"/>
      <c r="PP156"/>
      <c r="PQ156"/>
      <c r="PR156"/>
      <c r="PS156"/>
      <c r="PT156"/>
      <c r="PU156"/>
      <c r="PV156"/>
      <c r="PW156"/>
      <c r="PX156"/>
      <c r="PY156"/>
      <c r="PZ156"/>
      <c r="QA156"/>
      <c r="QB156"/>
      <c r="QC156"/>
      <c r="QD156"/>
      <c r="QE156"/>
      <c r="QF156"/>
      <c r="QG156"/>
      <c r="QH156"/>
      <c r="QI156"/>
      <c r="QJ156"/>
      <c r="QK156"/>
      <c r="QL156"/>
      <c r="QM156"/>
      <c r="QN156"/>
      <c r="QO156"/>
      <c r="QP156"/>
      <c r="QQ156"/>
      <c r="QR156"/>
      <c r="QS156"/>
      <c r="QT156"/>
      <c r="QU156"/>
      <c r="QV156"/>
      <c r="QW156"/>
      <c r="QX156"/>
      <c r="QY156"/>
      <c r="QZ156"/>
      <c r="RA156"/>
      <c r="RB156"/>
      <c r="RC156"/>
      <c r="RD156"/>
      <c r="RE156"/>
      <c r="RF156"/>
      <c r="RG156"/>
      <c r="RH156"/>
      <c r="RI156"/>
      <c r="RJ156"/>
      <c r="RK156"/>
      <c r="RL156"/>
      <c r="RM156"/>
      <c r="RN156"/>
      <c r="RO156"/>
      <c r="RP156"/>
      <c r="RQ156"/>
      <c r="RR156"/>
      <c r="RS156"/>
      <c r="RT156"/>
      <c r="RU156"/>
      <c r="RV156"/>
      <c r="RW156"/>
      <c r="RX156"/>
      <c r="RY156"/>
      <c r="RZ156"/>
      <c r="SA156"/>
      <c r="SB156"/>
      <c r="SC156"/>
      <c r="SD156"/>
      <c r="SE156"/>
      <c r="SF156"/>
      <c r="SG156"/>
      <c r="SH156"/>
      <c r="SI156"/>
      <c r="SJ156"/>
      <c r="SK156"/>
      <c r="SL156"/>
      <c r="SM156"/>
      <c r="SN156"/>
      <c r="SO156"/>
      <c r="SP156"/>
      <c r="SQ156"/>
      <c r="SR156"/>
      <c r="SS156"/>
      <c r="ST156"/>
      <c r="SU156"/>
      <c r="SV156"/>
      <c r="SW156"/>
      <c r="SX156"/>
      <c r="SY156"/>
      <c r="SZ156"/>
      <c r="TA156"/>
      <c r="TB156"/>
      <c r="TC156"/>
      <c r="TD156"/>
      <c r="TE156"/>
      <c r="TF156"/>
      <c r="TG156"/>
      <c r="TH156"/>
      <c r="TI156"/>
      <c r="TJ156"/>
      <c r="TK156"/>
      <c r="TL156"/>
      <c r="TM156"/>
      <c r="TN156"/>
      <c r="TO156"/>
      <c r="TP156"/>
      <c r="TQ156"/>
      <c r="TR156"/>
      <c r="TS156"/>
      <c r="TT156"/>
      <c r="TU156"/>
      <c r="TV156"/>
      <c r="TW156"/>
      <c r="TX156"/>
      <c r="TY156"/>
      <c r="TZ156"/>
      <c r="UA156"/>
      <c r="UB156"/>
      <c r="UC156"/>
      <c r="UD156"/>
      <c r="UE156"/>
      <c r="UF156"/>
      <c r="UG156"/>
      <c r="UH156"/>
      <c r="UI156"/>
      <c r="UJ156"/>
      <c r="UK156"/>
      <c r="UL156"/>
      <c r="UM156"/>
      <c r="UN156"/>
      <c r="UO156"/>
      <c r="UP156"/>
      <c r="UQ156"/>
      <c r="UR156"/>
      <c r="US156"/>
      <c r="UT156"/>
      <c r="UU156"/>
      <c r="UV156"/>
      <c r="UW156"/>
      <c r="UX156"/>
      <c r="UY156"/>
      <c r="UZ156"/>
      <c r="VA156"/>
      <c r="VB156"/>
      <c r="VC156"/>
      <c r="VD156"/>
      <c r="VE156"/>
      <c r="VF156"/>
      <c r="VG156"/>
    </row>
    <row r="157" spans="1:579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  <c r="NR157"/>
      <c r="NS157"/>
      <c r="NT157"/>
      <c r="NU157"/>
      <c r="NV157"/>
      <c r="NW157"/>
      <c r="NX157"/>
      <c r="NY157"/>
      <c r="NZ157"/>
      <c r="OA157"/>
      <c r="OB157"/>
      <c r="OC157"/>
      <c r="OD157"/>
      <c r="OE157"/>
      <c r="OF157"/>
      <c r="OG157"/>
      <c r="OH157"/>
      <c r="OI157"/>
      <c r="OJ157"/>
      <c r="OK157"/>
      <c r="OL157"/>
      <c r="OM157"/>
      <c r="ON157"/>
      <c r="OO157"/>
      <c r="OP157"/>
      <c r="OQ157"/>
      <c r="OR157"/>
      <c r="OS157"/>
      <c r="OT157"/>
      <c r="OU157"/>
      <c r="OV157"/>
      <c r="OW157"/>
      <c r="OX157"/>
      <c r="OY157"/>
      <c r="OZ157"/>
      <c r="PA157"/>
      <c r="PB157"/>
      <c r="PC157"/>
      <c r="PD157"/>
      <c r="PE157"/>
      <c r="PF157"/>
      <c r="PG157"/>
      <c r="PH157"/>
      <c r="PI157"/>
      <c r="PJ157"/>
      <c r="PK157"/>
      <c r="PL157"/>
      <c r="PM157"/>
      <c r="PN157"/>
      <c r="PO157"/>
      <c r="PP157"/>
      <c r="PQ157"/>
      <c r="PR157"/>
      <c r="PS157"/>
      <c r="PT157"/>
      <c r="PU157"/>
      <c r="PV157"/>
      <c r="PW157"/>
      <c r="PX157"/>
      <c r="PY157"/>
      <c r="PZ157"/>
      <c r="QA157"/>
      <c r="QB157"/>
      <c r="QC157"/>
      <c r="QD157"/>
      <c r="QE157"/>
      <c r="QF157"/>
      <c r="QG157"/>
      <c r="QH157"/>
      <c r="QI157"/>
      <c r="QJ157"/>
      <c r="QK157"/>
      <c r="QL157"/>
      <c r="QM157"/>
      <c r="QN157"/>
      <c r="QO157"/>
      <c r="QP157"/>
      <c r="QQ157"/>
      <c r="QR157"/>
      <c r="QS157"/>
      <c r="QT157"/>
      <c r="QU157"/>
      <c r="QV157"/>
      <c r="QW157"/>
      <c r="QX157"/>
      <c r="QY157"/>
      <c r="QZ157"/>
      <c r="RA157"/>
      <c r="RB157"/>
      <c r="RC157"/>
      <c r="RD157"/>
      <c r="RE157"/>
      <c r="RF157"/>
      <c r="RG157"/>
      <c r="RH157"/>
      <c r="RI157"/>
      <c r="RJ157"/>
      <c r="RK157"/>
      <c r="RL157"/>
      <c r="RM157"/>
      <c r="RN157"/>
      <c r="RO157"/>
      <c r="RP157"/>
      <c r="RQ157"/>
      <c r="RR157"/>
      <c r="RS157"/>
      <c r="RT157"/>
      <c r="RU157"/>
      <c r="RV157"/>
      <c r="RW157"/>
      <c r="RX157"/>
      <c r="RY157"/>
      <c r="RZ157"/>
      <c r="SA157"/>
      <c r="SB157"/>
      <c r="SC157"/>
      <c r="SD157"/>
      <c r="SE157"/>
      <c r="SF157"/>
      <c r="SG157"/>
      <c r="SH157"/>
      <c r="SI157"/>
      <c r="SJ157"/>
      <c r="SK157"/>
      <c r="SL157"/>
      <c r="SM157"/>
      <c r="SN157"/>
      <c r="SO157"/>
      <c r="SP157"/>
      <c r="SQ157"/>
      <c r="SR157"/>
      <c r="SS157"/>
      <c r="ST157"/>
      <c r="SU157"/>
      <c r="SV157"/>
      <c r="SW157"/>
      <c r="SX157"/>
      <c r="SY157"/>
      <c r="SZ157"/>
      <c r="TA157"/>
      <c r="TB157"/>
      <c r="TC157"/>
      <c r="TD157"/>
      <c r="TE157"/>
      <c r="TF157"/>
      <c r="TG157"/>
      <c r="TH157"/>
      <c r="TI157"/>
      <c r="TJ157"/>
      <c r="TK157"/>
      <c r="TL157"/>
      <c r="TM157"/>
      <c r="TN157"/>
      <c r="TO157"/>
      <c r="TP157"/>
      <c r="TQ157"/>
      <c r="TR157"/>
      <c r="TS157"/>
      <c r="TT157"/>
      <c r="TU157"/>
      <c r="TV157"/>
      <c r="TW157"/>
      <c r="TX157"/>
      <c r="TY157"/>
      <c r="TZ157"/>
      <c r="UA157"/>
      <c r="UB157"/>
      <c r="UC157"/>
      <c r="UD157"/>
      <c r="UE157"/>
      <c r="UF157"/>
      <c r="UG157"/>
      <c r="UH157"/>
      <c r="UI157"/>
      <c r="UJ157"/>
      <c r="UK157"/>
      <c r="UL157"/>
      <c r="UM157"/>
      <c r="UN157"/>
      <c r="UO157"/>
      <c r="UP157"/>
      <c r="UQ157"/>
      <c r="UR157"/>
      <c r="US157"/>
      <c r="UT157"/>
      <c r="UU157"/>
      <c r="UV157"/>
      <c r="UW157"/>
      <c r="UX157"/>
      <c r="UY157"/>
      <c r="UZ157"/>
      <c r="VA157"/>
      <c r="VB157"/>
      <c r="VC157"/>
      <c r="VD157"/>
      <c r="VE157"/>
      <c r="VF157"/>
      <c r="VG157"/>
    </row>
    <row r="158" spans="1:579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/>
      <c r="NB158"/>
      <c r="NC158"/>
      <c r="ND158"/>
      <c r="NE158"/>
      <c r="NF158"/>
      <c r="NG158"/>
      <c r="NH158"/>
      <c r="NI158"/>
      <c r="NJ158"/>
      <c r="NK158"/>
      <c r="NL158"/>
      <c r="NM158"/>
      <c r="NN158"/>
      <c r="NO158"/>
      <c r="NP158"/>
      <c r="NQ158"/>
      <c r="NR158"/>
      <c r="NS158"/>
      <c r="NT158"/>
      <c r="NU158"/>
      <c r="NV158"/>
      <c r="NW158"/>
      <c r="NX158"/>
      <c r="NY158"/>
      <c r="NZ158"/>
      <c r="OA158"/>
      <c r="OB158"/>
      <c r="OC158"/>
      <c r="OD158"/>
      <c r="OE158"/>
      <c r="OF158"/>
      <c r="OG158"/>
      <c r="OH158"/>
      <c r="OI158"/>
      <c r="OJ158"/>
      <c r="OK158"/>
      <c r="OL158"/>
      <c r="OM158"/>
      <c r="ON158"/>
      <c r="OO158"/>
      <c r="OP158"/>
      <c r="OQ158"/>
      <c r="OR158"/>
      <c r="OS158"/>
      <c r="OT158"/>
      <c r="OU158"/>
      <c r="OV158"/>
      <c r="OW158"/>
      <c r="OX158"/>
      <c r="OY158"/>
      <c r="OZ158"/>
      <c r="PA158"/>
      <c r="PB158"/>
      <c r="PC158"/>
      <c r="PD158"/>
      <c r="PE158"/>
      <c r="PF158"/>
      <c r="PG158"/>
      <c r="PH158"/>
      <c r="PI158"/>
      <c r="PJ158"/>
      <c r="PK158"/>
      <c r="PL158"/>
      <c r="PM158"/>
      <c r="PN158"/>
      <c r="PO158"/>
      <c r="PP158"/>
      <c r="PQ158"/>
      <c r="PR158"/>
      <c r="PS158"/>
      <c r="PT158"/>
      <c r="PU158"/>
      <c r="PV158"/>
      <c r="PW158"/>
      <c r="PX158"/>
      <c r="PY158"/>
      <c r="PZ158"/>
      <c r="QA158"/>
      <c r="QB158"/>
      <c r="QC158"/>
      <c r="QD158"/>
      <c r="QE158"/>
      <c r="QF158"/>
      <c r="QG158"/>
      <c r="QH158"/>
      <c r="QI158"/>
      <c r="QJ158"/>
      <c r="QK158"/>
      <c r="QL158"/>
      <c r="QM158"/>
      <c r="QN158"/>
      <c r="QO158"/>
      <c r="QP158"/>
      <c r="QQ158"/>
      <c r="QR158"/>
      <c r="QS158"/>
      <c r="QT158"/>
      <c r="QU158"/>
      <c r="QV158"/>
      <c r="QW158"/>
      <c r="QX158"/>
      <c r="QY158"/>
      <c r="QZ158"/>
      <c r="RA158"/>
      <c r="RB158"/>
      <c r="RC158"/>
      <c r="RD158"/>
      <c r="RE158"/>
      <c r="RF158"/>
      <c r="RG158"/>
      <c r="RH158"/>
      <c r="RI158"/>
      <c r="RJ158"/>
      <c r="RK158"/>
      <c r="RL158"/>
      <c r="RM158"/>
      <c r="RN158"/>
      <c r="RO158"/>
      <c r="RP158"/>
      <c r="RQ158"/>
      <c r="RR158"/>
      <c r="RS158"/>
      <c r="RT158"/>
      <c r="RU158"/>
      <c r="RV158"/>
      <c r="RW158"/>
      <c r="RX158"/>
      <c r="RY158"/>
      <c r="RZ158"/>
      <c r="SA158"/>
      <c r="SB158"/>
      <c r="SC158"/>
      <c r="SD158"/>
      <c r="SE158"/>
      <c r="SF158"/>
      <c r="SG158"/>
      <c r="SH158"/>
      <c r="SI158"/>
      <c r="SJ158"/>
      <c r="SK158"/>
      <c r="SL158"/>
      <c r="SM158"/>
      <c r="SN158"/>
      <c r="SO158"/>
      <c r="SP158"/>
      <c r="SQ158"/>
      <c r="SR158"/>
      <c r="SS158"/>
      <c r="ST158"/>
      <c r="SU158"/>
      <c r="SV158"/>
      <c r="SW158"/>
      <c r="SX158"/>
      <c r="SY158"/>
      <c r="SZ158"/>
      <c r="TA158"/>
      <c r="TB158"/>
      <c r="TC158"/>
      <c r="TD158"/>
      <c r="TE158"/>
      <c r="TF158"/>
      <c r="TG158"/>
      <c r="TH158"/>
      <c r="TI158"/>
      <c r="TJ158"/>
      <c r="TK158"/>
      <c r="TL158"/>
      <c r="TM158"/>
      <c r="TN158"/>
      <c r="TO158"/>
      <c r="TP158"/>
      <c r="TQ158"/>
      <c r="TR158"/>
      <c r="TS158"/>
      <c r="TT158"/>
      <c r="TU158"/>
      <c r="TV158"/>
      <c r="TW158"/>
      <c r="TX158"/>
      <c r="TY158"/>
      <c r="TZ158"/>
      <c r="UA158"/>
      <c r="UB158"/>
      <c r="UC158"/>
      <c r="UD158"/>
      <c r="UE158"/>
      <c r="UF158"/>
      <c r="UG158"/>
      <c r="UH158"/>
      <c r="UI158"/>
      <c r="UJ158"/>
      <c r="UK158"/>
      <c r="UL158"/>
      <c r="UM158"/>
      <c r="UN158"/>
      <c r="UO158"/>
      <c r="UP158"/>
      <c r="UQ158"/>
      <c r="UR158"/>
      <c r="US158"/>
      <c r="UT158"/>
      <c r="UU158"/>
      <c r="UV158"/>
      <c r="UW158"/>
      <c r="UX158"/>
      <c r="UY158"/>
      <c r="UZ158"/>
      <c r="VA158"/>
      <c r="VB158"/>
      <c r="VC158"/>
      <c r="VD158"/>
      <c r="VE158"/>
      <c r="VF158"/>
      <c r="VG158"/>
    </row>
    <row r="159" spans="1:579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/>
      <c r="MH159"/>
      <c r="MI159"/>
      <c r="MJ159"/>
      <c r="MK159"/>
      <c r="ML159"/>
      <c r="MM159"/>
      <c r="MN159"/>
      <c r="MO159"/>
      <c r="MP159"/>
      <c r="MQ159"/>
      <c r="MR159"/>
      <c r="MS159"/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/>
      <c r="NH159"/>
      <c r="NI159"/>
      <c r="NJ159"/>
      <c r="NK159"/>
      <c r="NL159"/>
      <c r="NM159"/>
      <c r="NN159"/>
      <c r="NO159"/>
      <c r="NP159"/>
      <c r="NQ159"/>
      <c r="NR159"/>
      <c r="NS159"/>
      <c r="NT159"/>
      <c r="NU159"/>
      <c r="NV159"/>
      <c r="NW159"/>
      <c r="NX159"/>
      <c r="NY159"/>
      <c r="NZ159"/>
      <c r="OA159"/>
      <c r="OB159"/>
      <c r="OC159"/>
      <c r="OD159"/>
      <c r="OE159"/>
      <c r="OF159"/>
      <c r="OG159"/>
      <c r="OH159"/>
      <c r="OI159"/>
      <c r="OJ159"/>
      <c r="OK159"/>
      <c r="OL159"/>
      <c r="OM159"/>
      <c r="ON159"/>
      <c r="OO159"/>
      <c r="OP159"/>
      <c r="OQ159"/>
      <c r="OR159"/>
      <c r="OS159"/>
      <c r="OT159"/>
      <c r="OU159"/>
      <c r="OV159"/>
      <c r="OW159"/>
      <c r="OX159"/>
      <c r="OY159"/>
      <c r="OZ159"/>
      <c r="PA159"/>
      <c r="PB159"/>
      <c r="PC159"/>
      <c r="PD159"/>
      <c r="PE159"/>
      <c r="PF159"/>
      <c r="PG159"/>
      <c r="PH159"/>
      <c r="PI159"/>
      <c r="PJ159"/>
      <c r="PK159"/>
      <c r="PL159"/>
      <c r="PM159"/>
      <c r="PN159"/>
      <c r="PO159"/>
      <c r="PP159"/>
      <c r="PQ159"/>
      <c r="PR159"/>
      <c r="PS159"/>
      <c r="PT159"/>
      <c r="PU159"/>
      <c r="PV159"/>
      <c r="PW159"/>
      <c r="PX159"/>
      <c r="PY159"/>
      <c r="PZ159"/>
      <c r="QA159"/>
      <c r="QB159"/>
      <c r="QC159"/>
      <c r="QD159"/>
      <c r="QE159"/>
      <c r="QF159"/>
      <c r="QG159"/>
      <c r="QH159"/>
      <c r="QI159"/>
      <c r="QJ159"/>
      <c r="QK159"/>
      <c r="QL159"/>
      <c r="QM159"/>
      <c r="QN159"/>
      <c r="QO159"/>
      <c r="QP159"/>
      <c r="QQ159"/>
      <c r="QR159"/>
      <c r="QS159"/>
      <c r="QT159"/>
      <c r="QU159"/>
      <c r="QV159"/>
      <c r="QW159"/>
      <c r="QX159"/>
      <c r="QY159"/>
      <c r="QZ159"/>
      <c r="RA159"/>
      <c r="RB159"/>
      <c r="RC159"/>
      <c r="RD159"/>
      <c r="RE159"/>
      <c r="RF159"/>
      <c r="RG159"/>
      <c r="RH159"/>
      <c r="RI159"/>
      <c r="RJ159"/>
      <c r="RK159"/>
      <c r="RL159"/>
      <c r="RM159"/>
      <c r="RN159"/>
      <c r="RO159"/>
      <c r="RP159"/>
      <c r="RQ159"/>
      <c r="RR159"/>
      <c r="RS159"/>
      <c r="RT159"/>
      <c r="RU159"/>
      <c r="RV159"/>
      <c r="RW159"/>
      <c r="RX159"/>
      <c r="RY159"/>
      <c r="RZ159"/>
      <c r="SA159"/>
      <c r="SB159"/>
      <c r="SC159"/>
      <c r="SD159"/>
      <c r="SE159"/>
      <c r="SF159"/>
      <c r="SG159"/>
      <c r="SH159"/>
      <c r="SI159"/>
      <c r="SJ159"/>
      <c r="SK159"/>
      <c r="SL159"/>
      <c r="SM159"/>
      <c r="SN159"/>
      <c r="SO159"/>
      <c r="SP159"/>
      <c r="SQ159"/>
      <c r="SR159"/>
      <c r="SS159"/>
      <c r="ST159"/>
      <c r="SU159"/>
      <c r="SV159"/>
      <c r="SW159"/>
      <c r="SX159"/>
      <c r="SY159"/>
      <c r="SZ159"/>
      <c r="TA159"/>
      <c r="TB159"/>
      <c r="TC159"/>
      <c r="TD159"/>
      <c r="TE159"/>
      <c r="TF159"/>
      <c r="TG159"/>
      <c r="TH159"/>
      <c r="TI159"/>
      <c r="TJ159"/>
      <c r="TK159"/>
      <c r="TL159"/>
      <c r="TM159"/>
      <c r="TN159"/>
      <c r="TO159"/>
      <c r="TP159"/>
      <c r="TQ159"/>
      <c r="TR159"/>
      <c r="TS159"/>
      <c r="TT159"/>
      <c r="TU159"/>
      <c r="TV159"/>
      <c r="TW159"/>
      <c r="TX159"/>
      <c r="TY159"/>
      <c r="TZ159"/>
      <c r="UA159"/>
      <c r="UB159"/>
      <c r="UC159"/>
      <c r="UD159"/>
      <c r="UE159"/>
      <c r="UF159"/>
      <c r="UG159"/>
      <c r="UH159"/>
      <c r="UI159"/>
      <c r="UJ159"/>
      <c r="UK159"/>
      <c r="UL159"/>
      <c r="UM159"/>
      <c r="UN159"/>
      <c r="UO159"/>
      <c r="UP159"/>
      <c r="UQ159"/>
      <c r="UR159"/>
      <c r="US159"/>
      <c r="UT159"/>
      <c r="UU159"/>
      <c r="UV159"/>
      <c r="UW159"/>
      <c r="UX159"/>
      <c r="UY159"/>
      <c r="UZ159"/>
      <c r="VA159"/>
      <c r="VB159"/>
      <c r="VC159"/>
      <c r="VD159"/>
      <c r="VE159"/>
      <c r="VF159"/>
      <c r="VG159"/>
    </row>
    <row r="160" spans="1:579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E160"/>
      <c r="NF160"/>
      <c r="NG160"/>
      <c r="NH160"/>
      <c r="NI160"/>
      <c r="NJ160"/>
      <c r="NK160"/>
      <c r="NL160"/>
      <c r="NM160"/>
      <c r="NN160"/>
      <c r="NO160"/>
      <c r="NP160"/>
      <c r="NQ160"/>
      <c r="NR160"/>
      <c r="NS160"/>
      <c r="NT160"/>
      <c r="NU160"/>
      <c r="NV160"/>
      <c r="NW160"/>
      <c r="NX160"/>
      <c r="NY160"/>
      <c r="NZ160"/>
      <c r="OA160"/>
      <c r="OB160"/>
      <c r="OC160"/>
      <c r="OD160"/>
      <c r="OE160"/>
      <c r="OF160"/>
      <c r="OG160"/>
      <c r="OH160"/>
      <c r="OI160"/>
      <c r="OJ160"/>
      <c r="OK160"/>
      <c r="OL160"/>
      <c r="OM160"/>
      <c r="ON160"/>
      <c r="OO160"/>
      <c r="OP160"/>
      <c r="OQ160"/>
      <c r="OR160"/>
      <c r="OS160"/>
      <c r="OT160"/>
      <c r="OU160"/>
      <c r="OV160"/>
      <c r="OW160"/>
      <c r="OX160"/>
      <c r="OY160"/>
      <c r="OZ160"/>
      <c r="PA160"/>
      <c r="PB160"/>
      <c r="PC160"/>
      <c r="PD160"/>
      <c r="PE160"/>
      <c r="PF160"/>
      <c r="PG160"/>
      <c r="PH160"/>
      <c r="PI160"/>
      <c r="PJ160"/>
      <c r="PK160"/>
      <c r="PL160"/>
      <c r="PM160"/>
      <c r="PN160"/>
      <c r="PO160"/>
      <c r="PP160"/>
      <c r="PQ160"/>
      <c r="PR160"/>
      <c r="PS160"/>
      <c r="PT160"/>
      <c r="PU160"/>
      <c r="PV160"/>
      <c r="PW160"/>
      <c r="PX160"/>
      <c r="PY160"/>
      <c r="PZ160"/>
      <c r="QA160"/>
      <c r="QB160"/>
      <c r="QC160"/>
      <c r="QD160"/>
      <c r="QE160"/>
      <c r="QF160"/>
      <c r="QG160"/>
      <c r="QH160"/>
      <c r="QI160"/>
      <c r="QJ160"/>
      <c r="QK160"/>
      <c r="QL160"/>
      <c r="QM160"/>
      <c r="QN160"/>
      <c r="QO160"/>
      <c r="QP160"/>
      <c r="QQ160"/>
      <c r="QR160"/>
      <c r="QS160"/>
      <c r="QT160"/>
      <c r="QU160"/>
      <c r="QV160"/>
      <c r="QW160"/>
      <c r="QX160"/>
      <c r="QY160"/>
      <c r="QZ160"/>
      <c r="RA160"/>
      <c r="RB160"/>
      <c r="RC160"/>
      <c r="RD160"/>
      <c r="RE160"/>
      <c r="RF160"/>
      <c r="RG160"/>
      <c r="RH160"/>
      <c r="RI160"/>
      <c r="RJ160"/>
      <c r="RK160"/>
      <c r="RL160"/>
      <c r="RM160"/>
      <c r="RN160"/>
      <c r="RO160"/>
      <c r="RP160"/>
      <c r="RQ160"/>
      <c r="RR160"/>
      <c r="RS160"/>
      <c r="RT160"/>
      <c r="RU160"/>
      <c r="RV160"/>
      <c r="RW160"/>
      <c r="RX160"/>
      <c r="RY160"/>
      <c r="RZ160"/>
      <c r="SA160"/>
      <c r="SB160"/>
      <c r="SC160"/>
      <c r="SD160"/>
      <c r="SE160"/>
      <c r="SF160"/>
      <c r="SG160"/>
      <c r="SH160"/>
      <c r="SI160"/>
      <c r="SJ160"/>
      <c r="SK160"/>
      <c r="SL160"/>
      <c r="SM160"/>
      <c r="SN160"/>
      <c r="SO160"/>
      <c r="SP160"/>
      <c r="SQ160"/>
      <c r="SR160"/>
      <c r="SS160"/>
      <c r="ST160"/>
      <c r="SU160"/>
      <c r="SV160"/>
      <c r="SW160"/>
      <c r="SX160"/>
      <c r="SY160"/>
      <c r="SZ160"/>
      <c r="TA160"/>
      <c r="TB160"/>
      <c r="TC160"/>
      <c r="TD160"/>
      <c r="TE160"/>
      <c r="TF160"/>
      <c r="TG160"/>
      <c r="TH160"/>
      <c r="TI160"/>
      <c r="TJ160"/>
      <c r="TK160"/>
      <c r="TL160"/>
      <c r="TM160"/>
      <c r="TN160"/>
      <c r="TO160"/>
      <c r="TP160"/>
      <c r="TQ160"/>
      <c r="TR160"/>
      <c r="TS160"/>
      <c r="TT160"/>
      <c r="TU160"/>
      <c r="TV160"/>
      <c r="TW160"/>
      <c r="TX160"/>
      <c r="TY160"/>
      <c r="TZ160"/>
      <c r="UA160"/>
      <c r="UB160"/>
      <c r="UC160"/>
      <c r="UD160"/>
      <c r="UE160"/>
      <c r="UF160"/>
      <c r="UG160"/>
      <c r="UH160"/>
      <c r="UI160"/>
      <c r="UJ160"/>
      <c r="UK160"/>
      <c r="UL160"/>
      <c r="UM160"/>
      <c r="UN160"/>
      <c r="UO160"/>
      <c r="UP160"/>
      <c r="UQ160"/>
      <c r="UR160"/>
      <c r="US160"/>
      <c r="UT160"/>
      <c r="UU160"/>
      <c r="UV160"/>
      <c r="UW160"/>
      <c r="UX160"/>
      <c r="UY160"/>
      <c r="UZ160"/>
      <c r="VA160"/>
      <c r="VB160"/>
      <c r="VC160"/>
      <c r="VD160"/>
      <c r="VE160"/>
      <c r="VF160"/>
      <c r="VG160"/>
    </row>
    <row r="161" spans="1:579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E161"/>
      <c r="NF161"/>
      <c r="NG161"/>
      <c r="NH161"/>
      <c r="NI161"/>
      <c r="NJ161"/>
      <c r="NK161"/>
      <c r="NL161"/>
      <c r="NM161"/>
      <c r="NN161"/>
      <c r="NO161"/>
      <c r="NP161"/>
      <c r="NQ161"/>
      <c r="NR161"/>
      <c r="NS161"/>
      <c r="NT161"/>
      <c r="NU161"/>
      <c r="NV161"/>
      <c r="NW161"/>
      <c r="NX161"/>
      <c r="NY161"/>
      <c r="NZ161"/>
      <c r="OA161"/>
      <c r="OB161"/>
      <c r="OC161"/>
      <c r="OD161"/>
      <c r="OE161"/>
      <c r="OF161"/>
      <c r="OG161"/>
      <c r="OH161"/>
      <c r="OI161"/>
      <c r="OJ161"/>
      <c r="OK161"/>
      <c r="OL161"/>
      <c r="OM161"/>
      <c r="ON161"/>
      <c r="OO161"/>
      <c r="OP161"/>
      <c r="OQ161"/>
      <c r="OR161"/>
      <c r="OS161"/>
      <c r="OT161"/>
      <c r="OU161"/>
      <c r="OV161"/>
      <c r="OW161"/>
      <c r="OX161"/>
      <c r="OY161"/>
      <c r="OZ161"/>
      <c r="PA161"/>
      <c r="PB161"/>
      <c r="PC161"/>
      <c r="PD161"/>
      <c r="PE161"/>
      <c r="PF161"/>
      <c r="PG161"/>
      <c r="PH161"/>
      <c r="PI161"/>
      <c r="PJ161"/>
      <c r="PK161"/>
      <c r="PL161"/>
      <c r="PM161"/>
      <c r="PN161"/>
      <c r="PO161"/>
      <c r="PP161"/>
      <c r="PQ161"/>
      <c r="PR161"/>
      <c r="PS161"/>
      <c r="PT161"/>
      <c r="PU161"/>
      <c r="PV161"/>
      <c r="PW161"/>
      <c r="PX161"/>
      <c r="PY161"/>
      <c r="PZ161"/>
      <c r="QA161"/>
      <c r="QB161"/>
      <c r="QC161"/>
      <c r="QD161"/>
      <c r="QE161"/>
      <c r="QF161"/>
      <c r="QG161"/>
      <c r="QH161"/>
      <c r="QI161"/>
      <c r="QJ161"/>
      <c r="QK161"/>
      <c r="QL161"/>
      <c r="QM161"/>
      <c r="QN161"/>
      <c r="QO161"/>
      <c r="QP161"/>
      <c r="QQ161"/>
      <c r="QR161"/>
      <c r="QS161"/>
      <c r="QT161"/>
      <c r="QU161"/>
      <c r="QV161"/>
      <c r="QW161"/>
      <c r="QX161"/>
      <c r="QY161"/>
      <c r="QZ161"/>
      <c r="RA161"/>
      <c r="RB161"/>
      <c r="RC161"/>
      <c r="RD161"/>
      <c r="RE161"/>
      <c r="RF161"/>
      <c r="RG161"/>
      <c r="RH161"/>
      <c r="RI161"/>
      <c r="RJ161"/>
      <c r="RK161"/>
      <c r="RL161"/>
      <c r="RM161"/>
      <c r="RN161"/>
      <c r="RO161"/>
      <c r="RP161"/>
      <c r="RQ161"/>
      <c r="RR161"/>
      <c r="RS161"/>
      <c r="RT161"/>
      <c r="RU161"/>
      <c r="RV161"/>
      <c r="RW161"/>
      <c r="RX161"/>
      <c r="RY161"/>
      <c r="RZ161"/>
      <c r="SA161"/>
      <c r="SB161"/>
      <c r="SC161"/>
      <c r="SD161"/>
      <c r="SE161"/>
      <c r="SF161"/>
      <c r="SG161"/>
      <c r="SH161"/>
      <c r="SI161"/>
      <c r="SJ161"/>
      <c r="SK161"/>
      <c r="SL161"/>
      <c r="SM161"/>
      <c r="SN161"/>
      <c r="SO161"/>
      <c r="SP161"/>
      <c r="SQ161"/>
      <c r="SR161"/>
      <c r="SS161"/>
      <c r="ST161"/>
      <c r="SU161"/>
      <c r="SV161"/>
      <c r="SW161"/>
      <c r="SX161"/>
      <c r="SY161"/>
      <c r="SZ161"/>
      <c r="TA161"/>
      <c r="TB161"/>
      <c r="TC161"/>
      <c r="TD161"/>
      <c r="TE161"/>
      <c r="TF161"/>
      <c r="TG161"/>
      <c r="TH161"/>
      <c r="TI161"/>
      <c r="TJ161"/>
      <c r="TK161"/>
      <c r="TL161"/>
      <c r="TM161"/>
      <c r="TN161"/>
      <c r="TO161"/>
      <c r="TP161"/>
      <c r="TQ161"/>
      <c r="TR161"/>
      <c r="TS161"/>
      <c r="TT161"/>
      <c r="TU161"/>
      <c r="TV161"/>
      <c r="TW161"/>
      <c r="TX161"/>
      <c r="TY161"/>
      <c r="TZ161"/>
      <c r="UA161"/>
      <c r="UB161"/>
      <c r="UC161"/>
      <c r="UD161"/>
      <c r="UE161"/>
      <c r="UF161"/>
      <c r="UG161"/>
      <c r="UH161"/>
      <c r="UI161"/>
      <c r="UJ161"/>
      <c r="UK161"/>
      <c r="UL161"/>
      <c r="UM161"/>
      <c r="UN161"/>
      <c r="UO161"/>
      <c r="UP161"/>
      <c r="UQ161"/>
      <c r="UR161"/>
      <c r="US161"/>
      <c r="UT161"/>
      <c r="UU161"/>
      <c r="UV161"/>
      <c r="UW161"/>
      <c r="UX161"/>
      <c r="UY161"/>
      <c r="UZ161"/>
      <c r="VA161"/>
      <c r="VB161"/>
      <c r="VC161"/>
      <c r="VD161"/>
      <c r="VE161"/>
      <c r="VF161"/>
      <c r="VG161"/>
    </row>
    <row r="162" spans="1:579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/>
      <c r="KO162"/>
      <c r="KP162"/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  <c r="LK162"/>
      <c r="LL162"/>
      <c r="LM162"/>
      <c r="LN162"/>
      <c r="LO162"/>
      <c r="LP162"/>
      <c r="LQ162"/>
      <c r="LR162"/>
      <c r="LS162"/>
      <c r="LT162"/>
      <c r="LU162"/>
      <c r="LV162"/>
      <c r="LW162"/>
      <c r="LX162"/>
      <c r="LY162"/>
      <c r="LZ162"/>
      <c r="MA162"/>
      <c r="MB162"/>
      <c r="MC162"/>
      <c r="MD162"/>
      <c r="ME162"/>
      <c r="MF162"/>
      <c r="MG162"/>
      <c r="MH162"/>
      <c r="MI162"/>
      <c r="MJ162"/>
      <c r="MK162"/>
      <c r="ML162"/>
      <c r="MM162"/>
      <c r="MN162"/>
      <c r="MO162"/>
      <c r="MP162"/>
      <c r="MQ162"/>
      <c r="MR162"/>
      <c r="MS162"/>
      <c r="MT162"/>
      <c r="MU162"/>
      <c r="MV162"/>
      <c r="MW162"/>
      <c r="MX162"/>
      <c r="MY162"/>
      <c r="MZ162"/>
      <c r="NA162"/>
      <c r="NB162"/>
      <c r="NC162"/>
      <c r="ND162"/>
      <c r="NE162"/>
      <c r="NF162"/>
      <c r="NG162"/>
      <c r="NH162"/>
      <c r="NI162"/>
      <c r="NJ162"/>
      <c r="NK162"/>
      <c r="NL162"/>
      <c r="NM162"/>
      <c r="NN162"/>
      <c r="NO162"/>
      <c r="NP162"/>
      <c r="NQ162"/>
      <c r="NR162"/>
      <c r="NS162"/>
      <c r="NT162"/>
      <c r="NU162"/>
      <c r="NV162"/>
      <c r="NW162"/>
      <c r="NX162"/>
      <c r="NY162"/>
      <c r="NZ162"/>
      <c r="OA162"/>
      <c r="OB162"/>
      <c r="OC162"/>
      <c r="OD162"/>
      <c r="OE162"/>
      <c r="OF162"/>
      <c r="OG162"/>
      <c r="OH162"/>
      <c r="OI162"/>
      <c r="OJ162"/>
      <c r="OK162"/>
      <c r="OL162"/>
      <c r="OM162"/>
      <c r="ON162"/>
      <c r="OO162"/>
      <c r="OP162"/>
      <c r="OQ162"/>
      <c r="OR162"/>
      <c r="OS162"/>
      <c r="OT162"/>
      <c r="OU162"/>
      <c r="OV162"/>
      <c r="OW162"/>
      <c r="OX162"/>
      <c r="OY162"/>
      <c r="OZ162"/>
      <c r="PA162"/>
      <c r="PB162"/>
      <c r="PC162"/>
      <c r="PD162"/>
      <c r="PE162"/>
      <c r="PF162"/>
      <c r="PG162"/>
      <c r="PH162"/>
      <c r="PI162"/>
      <c r="PJ162"/>
      <c r="PK162"/>
      <c r="PL162"/>
      <c r="PM162"/>
      <c r="PN162"/>
      <c r="PO162"/>
      <c r="PP162"/>
      <c r="PQ162"/>
      <c r="PR162"/>
      <c r="PS162"/>
      <c r="PT162"/>
      <c r="PU162"/>
      <c r="PV162"/>
      <c r="PW162"/>
      <c r="PX162"/>
      <c r="PY162"/>
      <c r="PZ162"/>
      <c r="QA162"/>
      <c r="QB162"/>
      <c r="QC162"/>
      <c r="QD162"/>
      <c r="QE162"/>
      <c r="QF162"/>
      <c r="QG162"/>
      <c r="QH162"/>
      <c r="QI162"/>
      <c r="QJ162"/>
      <c r="QK162"/>
      <c r="QL162"/>
      <c r="QM162"/>
      <c r="QN162"/>
      <c r="QO162"/>
      <c r="QP162"/>
      <c r="QQ162"/>
      <c r="QR162"/>
      <c r="QS162"/>
      <c r="QT162"/>
      <c r="QU162"/>
      <c r="QV162"/>
      <c r="QW162"/>
      <c r="QX162"/>
      <c r="QY162"/>
      <c r="QZ162"/>
      <c r="RA162"/>
      <c r="RB162"/>
      <c r="RC162"/>
      <c r="RD162"/>
      <c r="RE162"/>
      <c r="RF162"/>
      <c r="RG162"/>
      <c r="RH162"/>
      <c r="RI162"/>
      <c r="RJ162"/>
      <c r="RK162"/>
      <c r="RL162"/>
      <c r="RM162"/>
      <c r="RN162"/>
      <c r="RO162"/>
      <c r="RP162"/>
      <c r="RQ162"/>
      <c r="RR162"/>
      <c r="RS162"/>
      <c r="RT162"/>
      <c r="RU162"/>
      <c r="RV162"/>
      <c r="RW162"/>
      <c r="RX162"/>
      <c r="RY162"/>
      <c r="RZ162"/>
      <c r="SA162"/>
      <c r="SB162"/>
      <c r="SC162"/>
      <c r="SD162"/>
      <c r="SE162"/>
      <c r="SF162"/>
      <c r="SG162"/>
      <c r="SH162"/>
      <c r="SI162"/>
      <c r="SJ162"/>
      <c r="SK162"/>
      <c r="SL162"/>
      <c r="SM162"/>
      <c r="SN162"/>
      <c r="SO162"/>
      <c r="SP162"/>
      <c r="SQ162"/>
      <c r="SR162"/>
      <c r="SS162"/>
      <c r="ST162"/>
      <c r="SU162"/>
      <c r="SV162"/>
      <c r="SW162"/>
      <c r="SX162"/>
      <c r="SY162"/>
      <c r="SZ162"/>
      <c r="TA162"/>
      <c r="TB162"/>
      <c r="TC162"/>
      <c r="TD162"/>
      <c r="TE162"/>
      <c r="TF162"/>
      <c r="TG162"/>
      <c r="TH162"/>
      <c r="TI162"/>
      <c r="TJ162"/>
      <c r="TK162"/>
      <c r="TL162"/>
      <c r="TM162"/>
      <c r="TN162"/>
      <c r="TO162"/>
      <c r="TP162"/>
      <c r="TQ162"/>
      <c r="TR162"/>
      <c r="TS162"/>
      <c r="TT162"/>
      <c r="TU162"/>
      <c r="TV162"/>
      <c r="TW162"/>
      <c r="TX162"/>
      <c r="TY162"/>
      <c r="TZ162"/>
      <c r="UA162"/>
      <c r="UB162"/>
      <c r="UC162"/>
      <c r="UD162"/>
      <c r="UE162"/>
      <c r="UF162"/>
      <c r="UG162"/>
      <c r="UH162"/>
      <c r="UI162"/>
      <c r="UJ162"/>
      <c r="UK162"/>
      <c r="UL162"/>
      <c r="UM162"/>
      <c r="UN162"/>
      <c r="UO162"/>
      <c r="UP162"/>
      <c r="UQ162"/>
      <c r="UR162"/>
      <c r="US162"/>
      <c r="UT162"/>
      <c r="UU162"/>
      <c r="UV162"/>
      <c r="UW162"/>
      <c r="UX162"/>
      <c r="UY162"/>
      <c r="UZ162"/>
      <c r="VA162"/>
      <c r="VB162"/>
      <c r="VC162"/>
      <c r="VD162"/>
      <c r="VE162"/>
      <c r="VF162"/>
      <c r="VG162"/>
    </row>
    <row r="163" spans="1:579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/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  <c r="NK163"/>
      <c r="NL163"/>
      <c r="NM163"/>
      <c r="NN163"/>
      <c r="NO163"/>
      <c r="NP163"/>
      <c r="NQ163"/>
      <c r="NR163"/>
      <c r="NS163"/>
      <c r="NT163"/>
      <c r="NU163"/>
      <c r="NV163"/>
      <c r="NW163"/>
      <c r="NX163"/>
      <c r="NY163"/>
      <c r="NZ163"/>
      <c r="OA163"/>
      <c r="OB163"/>
      <c r="OC163"/>
      <c r="OD163"/>
      <c r="OE163"/>
      <c r="OF163"/>
      <c r="OG163"/>
      <c r="OH163"/>
      <c r="OI163"/>
      <c r="OJ163"/>
      <c r="OK163"/>
      <c r="OL163"/>
      <c r="OM163"/>
      <c r="ON163"/>
      <c r="OO163"/>
      <c r="OP163"/>
      <c r="OQ163"/>
      <c r="OR163"/>
      <c r="OS163"/>
      <c r="OT163"/>
      <c r="OU163"/>
      <c r="OV163"/>
      <c r="OW163"/>
      <c r="OX163"/>
      <c r="OY163"/>
      <c r="OZ163"/>
      <c r="PA163"/>
      <c r="PB163"/>
      <c r="PC163"/>
      <c r="PD163"/>
      <c r="PE163"/>
      <c r="PF163"/>
      <c r="PG163"/>
      <c r="PH163"/>
      <c r="PI163"/>
      <c r="PJ163"/>
      <c r="PK163"/>
      <c r="PL163"/>
      <c r="PM163"/>
      <c r="PN163"/>
      <c r="PO163"/>
      <c r="PP163"/>
      <c r="PQ163"/>
      <c r="PR163"/>
      <c r="PS163"/>
      <c r="PT163"/>
      <c r="PU163"/>
      <c r="PV163"/>
      <c r="PW163"/>
      <c r="PX163"/>
      <c r="PY163"/>
      <c r="PZ163"/>
      <c r="QA163"/>
      <c r="QB163"/>
      <c r="QC163"/>
      <c r="QD163"/>
      <c r="QE163"/>
      <c r="QF163"/>
      <c r="QG163"/>
      <c r="QH163"/>
      <c r="QI163"/>
      <c r="QJ163"/>
      <c r="QK163"/>
      <c r="QL163"/>
      <c r="QM163"/>
      <c r="QN163"/>
      <c r="QO163"/>
      <c r="QP163"/>
      <c r="QQ163"/>
      <c r="QR163"/>
      <c r="QS163"/>
      <c r="QT163"/>
      <c r="QU163"/>
      <c r="QV163"/>
      <c r="QW163"/>
      <c r="QX163"/>
      <c r="QY163"/>
      <c r="QZ163"/>
      <c r="RA163"/>
      <c r="RB163"/>
      <c r="RC163"/>
      <c r="RD163"/>
      <c r="RE163"/>
      <c r="RF163"/>
      <c r="RG163"/>
      <c r="RH163"/>
      <c r="RI163"/>
      <c r="RJ163"/>
      <c r="RK163"/>
      <c r="RL163"/>
      <c r="RM163"/>
      <c r="RN163"/>
      <c r="RO163"/>
      <c r="RP163"/>
      <c r="RQ163"/>
      <c r="RR163"/>
      <c r="RS163"/>
      <c r="RT163"/>
      <c r="RU163"/>
      <c r="RV163"/>
      <c r="RW163"/>
      <c r="RX163"/>
      <c r="RY163"/>
      <c r="RZ163"/>
      <c r="SA163"/>
      <c r="SB163"/>
      <c r="SC163"/>
      <c r="SD163"/>
      <c r="SE163"/>
      <c r="SF163"/>
      <c r="SG163"/>
      <c r="SH163"/>
      <c r="SI163"/>
      <c r="SJ163"/>
      <c r="SK163"/>
      <c r="SL163"/>
      <c r="SM163"/>
      <c r="SN163"/>
      <c r="SO163"/>
      <c r="SP163"/>
      <c r="SQ163"/>
      <c r="SR163"/>
      <c r="SS163"/>
      <c r="ST163"/>
      <c r="SU163"/>
      <c r="SV163"/>
      <c r="SW163"/>
      <c r="SX163"/>
      <c r="SY163"/>
      <c r="SZ163"/>
      <c r="TA163"/>
      <c r="TB163"/>
      <c r="TC163"/>
      <c r="TD163"/>
      <c r="TE163"/>
      <c r="TF163"/>
      <c r="TG163"/>
      <c r="TH163"/>
      <c r="TI163"/>
      <c r="TJ163"/>
      <c r="TK163"/>
      <c r="TL163"/>
      <c r="TM163"/>
      <c r="TN163"/>
      <c r="TO163"/>
      <c r="TP163"/>
      <c r="TQ163"/>
      <c r="TR163"/>
      <c r="TS163"/>
      <c r="TT163"/>
      <c r="TU163"/>
      <c r="TV163"/>
      <c r="TW163"/>
      <c r="TX163"/>
      <c r="TY163"/>
      <c r="TZ163"/>
      <c r="UA163"/>
      <c r="UB163"/>
      <c r="UC163"/>
      <c r="UD163"/>
      <c r="UE163"/>
      <c r="UF163"/>
      <c r="UG163"/>
      <c r="UH163"/>
      <c r="UI163"/>
      <c r="UJ163"/>
      <c r="UK163"/>
      <c r="UL163"/>
      <c r="UM163"/>
      <c r="UN163"/>
      <c r="UO163"/>
      <c r="UP163"/>
      <c r="UQ163"/>
      <c r="UR163"/>
      <c r="US163"/>
      <c r="UT163"/>
      <c r="UU163"/>
      <c r="UV163"/>
      <c r="UW163"/>
      <c r="UX163"/>
      <c r="UY163"/>
      <c r="UZ163"/>
      <c r="VA163"/>
      <c r="VB163"/>
      <c r="VC163"/>
      <c r="VD163"/>
      <c r="VE163"/>
      <c r="VF163"/>
      <c r="VG163"/>
    </row>
    <row r="164" spans="1:579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/>
      <c r="LM164"/>
      <c r="LN164"/>
      <c r="LO164"/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  <c r="MF164"/>
      <c r="MG164"/>
      <c r="MH164"/>
      <c r="MI164"/>
      <c r="MJ164"/>
      <c r="MK164"/>
      <c r="ML164"/>
      <c r="MM164"/>
      <c r="MN164"/>
      <c r="MO164"/>
      <c r="MP164"/>
      <c r="MQ164"/>
      <c r="MR164"/>
      <c r="MS164"/>
      <c r="MT164"/>
      <c r="MU164"/>
      <c r="MV164"/>
      <c r="MW164"/>
      <c r="MX164"/>
      <c r="MY164"/>
      <c r="MZ164"/>
      <c r="NA164"/>
      <c r="NB164"/>
      <c r="NC164"/>
      <c r="ND164"/>
      <c r="NE164"/>
      <c r="NF164"/>
      <c r="NG164"/>
      <c r="NH164"/>
      <c r="NI164"/>
      <c r="NJ164"/>
      <c r="NK164"/>
      <c r="NL164"/>
      <c r="NM164"/>
      <c r="NN164"/>
      <c r="NO164"/>
      <c r="NP164"/>
      <c r="NQ164"/>
      <c r="NR164"/>
      <c r="NS164"/>
      <c r="NT164"/>
      <c r="NU164"/>
      <c r="NV164"/>
      <c r="NW164"/>
      <c r="NX164"/>
      <c r="NY164"/>
      <c r="NZ164"/>
      <c r="OA164"/>
      <c r="OB164"/>
      <c r="OC164"/>
      <c r="OD164"/>
      <c r="OE164"/>
      <c r="OF164"/>
      <c r="OG164"/>
      <c r="OH164"/>
      <c r="OI164"/>
      <c r="OJ164"/>
      <c r="OK164"/>
      <c r="OL164"/>
      <c r="OM164"/>
      <c r="ON164"/>
      <c r="OO164"/>
      <c r="OP164"/>
      <c r="OQ164"/>
      <c r="OR164"/>
      <c r="OS164"/>
      <c r="OT164"/>
      <c r="OU164"/>
      <c r="OV164"/>
      <c r="OW164"/>
      <c r="OX164"/>
      <c r="OY164"/>
      <c r="OZ164"/>
      <c r="PA164"/>
      <c r="PB164"/>
      <c r="PC164"/>
      <c r="PD164"/>
      <c r="PE164"/>
      <c r="PF164"/>
      <c r="PG164"/>
      <c r="PH164"/>
      <c r="PI164"/>
      <c r="PJ164"/>
      <c r="PK164"/>
      <c r="PL164"/>
      <c r="PM164"/>
      <c r="PN164"/>
      <c r="PO164"/>
      <c r="PP164"/>
      <c r="PQ164"/>
      <c r="PR164"/>
      <c r="PS164"/>
      <c r="PT164"/>
      <c r="PU164"/>
      <c r="PV164"/>
      <c r="PW164"/>
      <c r="PX164"/>
      <c r="PY164"/>
      <c r="PZ164"/>
      <c r="QA164"/>
      <c r="QB164"/>
      <c r="QC164"/>
      <c r="QD164"/>
      <c r="QE164"/>
      <c r="QF164"/>
      <c r="QG164"/>
      <c r="QH164"/>
      <c r="QI164"/>
      <c r="QJ164"/>
      <c r="QK164"/>
      <c r="QL164"/>
      <c r="QM164"/>
      <c r="QN164"/>
      <c r="QO164"/>
      <c r="QP164"/>
      <c r="QQ164"/>
      <c r="QR164"/>
      <c r="QS164"/>
      <c r="QT164"/>
      <c r="QU164"/>
      <c r="QV164"/>
      <c r="QW164"/>
      <c r="QX164"/>
      <c r="QY164"/>
      <c r="QZ164"/>
      <c r="RA164"/>
      <c r="RB164"/>
      <c r="RC164"/>
      <c r="RD164"/>
      <c r="RE164"/>
      <c r="RF164"/>
      <c r="RG164"/>
      <c r="RH164"/>
      <c r="RI164"/>
      <c r="RJ164"/>
      <c r="RK164"/>
      <c r="RL164"/>
      <c r="RM164"/>
      <c r="RN164"/>
      <c r="RO164"/>
      <c r="RP164"/>
      <c r="RQ164"/>
      <c r="RR164"/>
      <c r="RS164"/>
      <c r="RT164"/>
      <c r="RU164"/>
      <c r="RV164"/>
      <c r="RW164"/>
      <c r="RX164"/>
      <c r="RY164"/>
      <c r="RZ164"/>
      <c r="SA164"/>
      <c r="SB164"/>
      <c r="SC164"/>
      <c r="SD164"/>
      <c r="SE164"/>
      <c r="SF164"/>
      <c r="SG164"/>
      <c r="SH164"/>
      <c r="SI164"/>
      <c r="SJ164"/>
      <c r="SK164"/>
      <c r="SL164"/>
      <c r="SM164"/>
      <c r="SN164"/>
      <c r="SO164"/>
      <c r="SP164"/>
      <c r="SQ164"/>
      <c r="SR164"/>
      <c r="SS164"/>
      <c r="ST164"/>
      <c r="SU164"/>
      <c r="SV164"/>
      <c r="SW164"/>
      <c r="SX164"/>
      <c r="SY164"/>
      <c r="SZ164"/>
      <c r="TA164"/>
      <c r="TB164"/>
      <c r="TC164"/>
      <c r="TD164"/>
      <c r="TE164"/>
      <c r="TF164"/>
      <c r="TG164"/>
      <c r="TH164"/>
      <c r="TI164"/>
      <c r="TJ164"/>
      <c r="TK164"/>
      <c r="TL164"/>
      <c r="TM164"/>
      <c r="TN164"/>
      <c r="TO164"/>
      <c r="TP164"/>
      <c r="TQ164"/>
      <c r="TR164"/>
      <c r="TS164"/>
      <c r="TT164"/>
      <c r="TU164"/>
      <c r="TV164"/>
      <c r="TW164"/>
      <c r="TX164"/>
      <c r="TY164"/>
      <c r="TZ164"/>
      <c r="UA164"/>
      <c r="UB164"/>
      <c r="UC164"/>
      <c r="UD164"/>
      <c r="UE164"/>
      <c r="UF164"/>
      <c r="UG164"/>
      <c r="UH164"/>
      <c r="UI164"/>
      <c r="UJ164"/>
      <c r="UK164"/>
      <c r="UL164"/>
      <c r="UM164"/>
      <c r="UN164"/>
      <c r="UO164"/>
      <c r="UP164"/>
      <c r="UQ164"/>
      <c r="UR164"/>
      <c r="US164"/>
      <c r="UT164"/>
      <c r="UU164"/>
      <c r="UV164"/>
      <c r="UW164"/>
      <c r="UX164"/>
      <c r="UY164"/>
      <c r="UZ164"/>
      <c r="VA164"/>
      <c r="VB164"/>
      <c r="VC164"/>
      <c r="VD164"/>
      <c r="VE164"/>
      <c r="VF164"/>
      <c r="VG164"/>
    </row>
    <row r="165" spans="1:579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  <c r="ML165"/>
      <c r="MM165"/>
      <c r="MN165"/>
      <c r="MO165"/>
      <c r="MP165"/>
      <c r="MQ165"/>
      <c r="MR165"/>
      <c r="MS165"/>
      <c r="MT165"/>
      <c r="MU165"/>
      <c r="MV165"/>
      <c r="MW165"/>
      <c r="MX165"/>
      <c r="MY165"/>
      <c r="MZ165"/>
      <c r="NA165"/>
      <c r="NB165"/>
      <c r="NC165"/>
      <c r="ND165"/>
      <c r="NE165"/>
      <c r="NF165"/>
      <c r="NG165"/>
      <c r="NH165"/>
      <c r="NI165"/>
      <c r="NJ165"/>
      <c r="NK165"/>
      <c r="NL165"/>
      <c r="NM165"/>
      <c r="NN165"/>
      <c r="NO165"/>
      <c r="NP165"/>
      <c r="NQ165"/>
      <c r="NR165"/>
      <c r="NS165"/>
      <c r="NT165"/>
      <c r="NU165"/>
      <c r="NV165"/>
      <c r="NW165"/>
      <c r="NX165"/>
      <c r="NY165"/>
      <c r="NZ165"/>
      <c r="OA165"/>
      <c r="OB165"/>
      <c r="OC165"/>
      <c r="OD165"/>
      <c r="OE165"/>
      <c r="OF165"/>
      <c r="OG165"/>
      <c r="OH165"/>
      <c r="OI165"/>
      <c r="OJ165"/>
      <c r="OK165"/>
      <c r="OL165"/>
      <c r="OM165"/>
      <c r="ON165"/>
      <c r="OO165"/>
      <c r="OP165"/>
      <c r="OQ165"/>
      <c r="OR165"/>
      <c r="OS165"/>
      <c r="OT165"/>
      <c r="OU165"/>
      <c r="OV165"/>
      <c r="OW165"/>
      <c r="OX165"/>
      <c r="OY165"/>
      <c r="OZ165"/>
      <c r="PA165"/>
      <c r="PB165"/>
      <c r="PC165"/>
      <c r="PD165"/>
      <c r="PE165"/>
      <c r="PF165"/>
      <c r="PG165"/>
      <c r="PH165"/>
      <c r="PI165"/>
      <c r="PJ165"/>
      <c r="PK165"/>
      <c r="PL165"/>
      <c r="PM165"/>
      <c r="PN165"/>
      <c r="PO165"/>
      <c r="PP165"/>
      <c r="PQ165"/>
      <c r="PR165"/>
      <c r="PS165"/>
      <c r="PT165"/>
      <c r="PU165"/>
      <c r="PV165"/>
      <c r="PW165"/>
      <c r="PX165"/>
      <c r="PY165"/>
      <c r="PZ165"/>
      <c r="QA165"/>
      <c r="QB165"/>
      <c r="QC165"/>
      <c r="QD165"/>
      <c r="QE165"/>
      <c r="QF165"/>
      <c r="QG165"/>
      <c r="QH165"/>
      <c r="QI165"/>
      <c r="QJ165"/>
      <c r="QK165"/>
      <c r="QL165"/>
      <c r="QM165"/>
      <c r="QN165"/>
      <c r="QO165"/>
      <c r="QP165"/>
      <c r="QQ165"/>
      <c r="QR165"/>
      <c r="QS165"/>
      <c r="QT165"/>
      <c r="QU165"/>
      <c r="QV165"/>
      <c r="QW165"/>
      <c r="QX165"/>
      <c r="QY165"/>
      <c r="QZ165"/>
      <c r="RA165"/>
      <c r="RB165"/>
      <c r="RC165"/>
      <c r="RD165"/>
      <c r="RE165"/>
      <c r="RF165"/>
      <c r="RG165"/>
      <c r="RH165"/>
      <c r="RI165"/>
      <c r="RJ165"/>
      <c r="RK165"/>
      <c r="RL165"/>
      <c r="RM165"/>
      <c r="RN165"/>
      <c r="RO165"/>
      <c r="RP165"/>
      <c r="RQ165"/>
      <c r="RR165"/>
      <c r="RS165"/>
      <c r="RT165"/>
      <c r="RU165"/>
      <c r="RV165"/>
      <c r="RW165"/>
      <c r="RX165"/>
      <c r="RY165"/>
      <c r="RZ165"/>
      <c r="SA165"/>
      <c r="SB165"/>
      <c r="SC165"/>
      <c r="SD165"/>
      <c r="SE165"/>
      <c r="SF165"/>
      <c r="SG165"/>
      <c r="SH165"/>
      <c r="SI165"/>
      <c r="SJ165"/>
      <c r="SK165"/>
      <c r="SL165"/>
      <c r="SM165"/>
      <c r="SN165"/>
      <c r="SO165"/>
      <c r="SP165"/>
      <c r="SQ165"/>
      <c r="SR165"/>
      <c r="SS165"/>
      <c r="ST165"/>
      <c r="SU165"/>
      <c r="SV165"/>
      <c r="SW165"/>
      <c r="SX165"/>
      <c r="SY165"/>
      <c r="SZ165"/>
      <c r="TA165"/>
      <c r="TB165"/>
      <c r="TC165"/>
      <c r="TD165"/>
      <c r="TE165"/>
      <c r="TF165"/>
      <c r="TG165"/>
      <c r="TH165"/>
      <c r="TI165"/>
      <c r="TJ165"/>
      <c r="TK165"/>
      <c r="TL165"/>
      <c r="TM165"/>
      <c r="TN165"/>
      <c r="TO165"/>
      <c r="TP165"/>
      <c r="TQ165"/>
      <c r="TR165"/>
      <c r="TS165"/>
      <c r="TT165"/>
      <c r="TU165"/>
      <c r="TV165"/>
      <c r="TW165"/>
      <c r="TX165"/>
      <c r="TY165"/>
      <c r="TZ165"/>
      <c r="UA165"/>
      <c r="UB165"/>
      <c r="UC165"/>
      <c r="UD165"/>
      <c r="UE165"/>
      <c r="UF165"/>
      <c r="UG165"/>
      <c r="UH165"/>
      <c r="UI165"/>
      <c r="UJ165"/>
      <c r="UK165"/>
      <c r="UL165"/>
      <c r="UM165"/>
      <c r="UN165"/>
      <c r="UO165"/>
      <c r="UP165"/>
      <c r="UQ165"/>
      <c r="UR165"/>
      <c r="US165"/>
      <c r="UT165"/>
      <c r="UU165"/>
      <c r="UV165"/>
      <c r="UW165"/>
      <c r="UX165"/>
      <c r="UY165"/>
      <c r="UZ165"/>
      <c r="VA165"/>
      <c r="VB165"/>
      <c r="VC165"/>
      <c r="VD165"/>
      <c r="VE165"/>
      <c r="VF165"/>
      <c r="VG165"/>
    </row>
    <row r="166" spans="1:579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/>
      <c r="MR166"/>
      <c r="MS166"/>
      <c r="MT166"/>
      <c r="MU166"/>
      <c r="MV166"/>
      <c r="MW166"/>
      <c r="MX166"/>
      <c r="MY166"/>
      <c r="MZ166"/>
      <c r="NA166"/>
      <c r="NB166"/>
      <c r="NC166"/>
      <c r="ND166"/>
      <c r="NE166"/>
      <c r="NF166"/>
      <c r="NG166"/>
      <c r="NH166"/>
      <c r="NI166"/>
      <c r="NJ166"/>
      <c r="NK166"/>
      <c r="NL166"/>
      <c r="NM166"/>
      <c r="NN166"/>
      <c r="NO166"/>
      <c r="NP166"/>
      <c r="NQ166"/>
      <c r="NR166"/>
      <c r="NS166"/>
      <c r="NT166"/>
      <c r="NU166"/>
      <c r="NV166"/>
      <c r="NW166"/>
      <c r="NX166"/>
      <c r="NY166"/>
      <c r="NZ166"/>
      <c r="OA166"/>
      <c r="OB166"/>
      <c r="OC166"/>
      <c r="OD166"/>
      <c r="OE166"/>
      <c r="OF166"/>
      <c r="OG166"/>
      <c r="OH166"/>
      <c r="OI166"/>
      <c r="OJ166"/>
      <c r="OK166"/>
      <c r="OL166"/>
      <c r="OM166"/>
      <c r="ON166"/>
      <c r="OO166"/>
      <c r="OP166"/>
      <c r="OQ166"/>
      <c r="OR166"/>
      <c r="OS166"/>
      <c r="OT166"/>
      <c r="OU166"/>
      <c r="OV166"/>
      <c r="OW166"/>
      <c r="OX166"/>
      <c r="OY166"/>
      <c r="OZ166"/>
      <c r="PA166"/>
      <c r="PB166"/>
      <c r="PC166"/>
      <c r="PD166"/>
      <c r="PE166"/>
      <c r="PF166"/>
      <c r="PG166"/>
      <c r="PH166"/>
      <c r="PI166"/>
      <c r="PJ166"/>
      <c r="PK166"/>
      <c r="PL166"/>
      <c r="PM166"/>
      <c r="PN166"/>
      <c r="PO166"/>
      <c r="PP166"/>
      <c r="PQ166"/>
      <c r="PR166"/>
      <c r="PS166"/>
      <c r="PT166"/>
      <c r="PU166"/>
      <c r="PV166"/>
      <c r="PW166"/>
      <c r="PX166"/>
      <c r="PY166"/>
      <c r="PZ166"/>
      <c r="QA166"/>
      <c r="QB166"/>
      <c r="QC166"/>
      <c r="QD166"/>
      <c r="QE166"/>
      <c r="QF166"/>
      <c r="QG166"/>
      <c r="QH166"/>
      <c r="QI166"/>
      <c r="QJ166"/>
      <c r="QK166"/>
      <c r="QL166"/>
      <c r="QM166"/>
      <c r="QN166"/>
      <c r="QO166"/>
      <c r="QP166"/>
      <c r="QQ166"/>
      <c r="QR166"/>
      <c r="QS166"/>
      <c r="QT166"/>
      <c r="QU166"/>
      <c r="QV166"/>
      <c r="QW166"/>
      <c r="QX166"/>
      <c r="QY166"/>
      <c r="QZ166"/>
      <c r="RA166"/>
      <c r="RB166"/>
      <c r="RC166"/>
      <c r="RD166"/>
      <c r="RE166"/>
      <c r="RF166"/>
      <c r="RG166"/>
      <c r="RH166"/>
      <c r="RI166"/>
      <c r="RJ166"/>
      <c r="RK166"/>
      <c r="RL166"/>
      <c r="RM166"/>
      <c r="RN166"/>
      <c r="RO166"/>
      <c r="RP166"/>
      <c r="RQ166"/>
      <c r="RR166"/>
      <c r="RS166"/>
      <c r="RT166"/>
      <c r="RU166"/>
      <c r="RV166"/>
      <c r="RW166"/>
      <c r="RX166"/>
      <c r="RY166"/>
      <c r="RZ166"/>
      <c r="SA166"/>
      <c r="SB166"/>
      <c r="SC166"/>
      <c r="SD166"/>
      <c r="SE166"/>
      <c r="SF166"/>
      <c r="SG166"/>
      <c r="SH166"/>
      <c r="SI166"/>
      <c r="SJ166"/>
      <c r="SK166"/>
      <c r="SL166"/>
      <c r="SM166"/>
      <c r="SN166"/>
      <c r="SO166"/>
      <c r="SP166"/>
      <c r="SQ166"/>
      <c r="SR166"/>
      <c r="SS166"/>
      <c r="ST166"/>
      <c r="SU166"/>
      <c r="SV166"/>
      <c r="SW166"/>
      <c r="SX166"/>
      <c r="SY166"/>
      <c r="SZ166"/>
      <c r="TA166"/>
      <c r="TB166"/>
      <c r="TC166"/>
      <c r="TD166"/>
      <c r="TE166"/>
      <c r="TF166"/>
      <c r="TG166"/>
      <c r="TH166"/>
      <c r="TI166"/>
      <c r="TJ166"/>
      <c r="TK166"/>
      <c r="TL166"/>
      <c r="TM166"/>
      <c r="TN166"/>
      <c r="TO166"/>
      <c r="TP166"/>
      <c r="TQ166"/>
      <c r="TR166"/>
      <c r="TS166"/>
      <c r="TT166"/>
      <c r="TU166"/>
      <c r="TV166"/>
      <c r="TW166"/>
      <c r="TX166"/>
      <c r="TY166"/>
      <c r="TZ166"/>
      <c r="UA166"/>
      <c r="UB166"/>
      <c r="UC166"/>
      <c r="UD166"/>
      <c r="UE166"/>
      <c r="UF166"/>
      <c r="UG166"/>
      <c r="UH166"/>
      <c r="UI166"/>
      <c r="UJ166"/>
      <c r="UK166"/>
      <c r="UL166"/>
      <c r="UM166"/>
      <c r="UN166"/>
      <c r="UO166"/>
      <c r="UP166"/>
      <c r="UQ166"/>
      <c r="UR166"/>
      <c r="US166"/>
      <c r="UT166"/>
      <c r="UU166"/>
      <c r="UV166"/>
      <c r="UW166"/>
      <c r="UX166"/>
      <c r="UY166"/>
      <c r="UZ166"/>
      <c r="VA166"/>
      <c r="VB166"/>
      <c r="VC166"/>
      <c r="VD166"/>
      <c r="VE166"/>
      <c r="VF166"/>
      <c r="VG166"/>
    </row>
    <row r="167" spans="1:579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/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  <c r="MK167"/>
      <c r="ML167"/>
      <c r="MM167"/>
      <c r="MN167"/>
      <c r="MO167"/>
      <c r="MP167"/>
      <c r="MQ167"/>
      <c r="MR167"/>
      <c r="MS167"/>
      <c r="MT167"/>
      <c r="MU167"/>
      <c r="MV167"/>
      <c r="MW167"/>
      <c r="MX167"/>
      <c r="MY167"/>
      <c r="MZ167"/>
      <c r="NA167"/>
      <c r="NB167"/>
      <c r="NC167"/>
      <c r="ND167"/>
      <c r="NE167"/>
      <c r="NF167"/>
      <c r="NG167"/>
      <c r="NH167"/>
      <c r="NI167"/>
      <c r="NJ167"/>
      <c r="NK167"/>
      <c r="NL167"/>
      <c r="NM167"/>
      <c r="NN167"/>
      <c r="NO167"/>
      <c r="NP167"/>
      <c r="NQ167"/>
      <c r="NR167"/>
      <c r="NS167"/>
      <c r="NT167"/>
      <c r="NU167"/>
      <c r="NV167"/>
      <c r="NW167"/>
      <c r="NX167"/>
      <c r="NY167"/>
      <c r="NZ167"/>
      <c r="OA167"/>
      <c r="OB167"/>
      <c r="OC167"/>
      <c r="OD167"/>
      <c r="OE167"/>
      <c r="OF167"/>
      <c r="OG167"/>
      <c r="OH167"/>
      <c r="OI167"/>
      <c r="OJ167"/>
      <c r="OK167"/>
      <c r="OL167"/>
      <c r="OM167"/>
      <c r="ON167"/>
      <c r="OO167"/>
      <c r="OP167"/>
      <c r="OQ167"/>
      <c r="OR167"/>
      <c r="OS167"/>
      <c r="OT167"/>
      <c r="OU167"/>
      <c r="OV167"/>
      <c r="OW167"/>
      <c r="OX167"/>
      <c r="OY167"/>
      <c r="OZ167"/>
      <c r="PA167"/>
      <c r="PB167"/>
      <c r="PC167"/>
      <c r="PD167"/>
      <c r="PE167"/>
      <c r="PF167"/>
      <c r="PG167"/>
      <c r="PH167"/>
      <c r="PI167"/>
      <c r="PJ167"/>
      <c r="PK167"/>
      <c r="PL167"/>
      <c r="PM167"/>
      <c r="PN167"/>
      <c r="PO167"/>
      <c r="PP167"/>
      <c r="PQ167"/>
      <c r="PR167"/>
      <c r="PS167"/>
      <c r="PT167"/>
      <c r="PU167"/>
      <c r="PV167"/>
      <c r="PW167"/>
      <c r="PX167"/>
      <c r="PY167"/>
      <c r="PZ167"/>
      <c r="QA167"/>
      <c r="QB167"/>
      <c r="QC167"/>
      <c r="QD167"/>
      <c r="QE167"/>
      <c r="QF167"/>
      <c r="QG167"/>
      <c r="QH167"/>
      <c r="QI167"/>
      <c r="QJ167"/>
      <c r="QK167"/>
      <c r="QL167"/>
      <c r="QM167"/>
      <c r="QN167"/>
      <c r="QO167"/>
      <c r="QP167"/>
      <c r="QQ167"/>
      <c r="QR167"/>
      <c r="QS167"/>
      <c r="QT167"/>
      <c r="QU167"/>
      <c r="QV167"/>
      <c r="QW167"/>
      <c r="QX167"/>
      <c r="QY167"/>
      <c r="QZ167"/>
      <c r="RA167"/>
      <c r="RB167"/>
      <c r="RC167"/>
      <c r="RD167"/>
      <c r="RE167"/>
      <c r="RF167"/>
      <c r="RG167"/>
      <c r="RH167"/>
      <c r="RI167"/>
      <c r="RJ167"/>
      <c r="RK167"/>
      <c r="RL167"/>
      <c r="RM167"/>
      <c r="RN167"/>
      <c r="RO167"/>
      <c r="RP167"/>
      <c r="RQ167"/>
      <c r="RR167"/>
      <c r="RS167"/>
      <c r="RT167"/>
      <c r="RU167"/>
      <c r="RV167"/>
      <c r="RW167"/>
      <c r="RX167"/>
      <c r="RY167"/>
      <c r="RZ167"/>
      <c r="SA167"/>
      <c r="SB167"/>
      <c r="SC167"/>
      <c r="SD167"/>
      <c r="SE167"/>
      <c r="SF167"/>
      <c r="SG167"/>
      <c r="SH167"/>
      <c r="SI167"/>
      <c r="SJ167"/>
      <c r="SK167"/>
      <c r="SL167"/>
      <c r="SM167"/>
      <c r="SN167"/>
      <c r="SO167"/>
      <c r="SP167"/>
      <c r="SQ167"/>
      <c r="SR167"/>
      <c r="SS167"/>
      <c r="ST167"/>
      <c r="SU167"/>
      <c r="SV167"/>
      <c r="SW167"/>
      <c r="SX167"/>
      <c r="SY167"/>
      <c r="SZ167"/>
      <c r="TA167"/>
      <c r="TB167"/>
      <c r="TC167"/>
      <c r="TD167"/>
      <c r="TE167"/>
      <c r="TF167"/>
      <c r="TG167"/>
      <c r="TH167"/>
      <c r="TI167"/>
      <c r="TJ167"/>
      <c r="TK167"/>
      <c r="TL167"/>
      <c r="TM167"/>
      <c r="TN167"/>
      <c r="TO167"/>
      <c r="TP167"/>
      <c r="TQ167"/>
      <c r="TR167"/>
      <c r="TS167"/>
      <c r="TT167"/>
      <c r="TU167"/>
      <c r="TV167"/>
      <c r="TW167"/>
      <c r="TX167"/>
      <c r="TY167"/>
      <c r="TZ167"/>
      <c r="UA167"/>
      <c r="UB167"/>
      <c r="UC167"/>
      <c r="UD167"/>
      <c r="UE167"/>
      <c r="UF167"/>
      <c r="UG167"/>
      <c r="UH167"/>
      <c r="UI167"/>
      <c r="UJ167"/>
      <c r="UK167"/>
      <c r="UL167"/>
      <c r="UM167"/>
      <c r="UN167"/>
      <c r="UO167"/>
      <c r="UP167"/>
      <c r="UQ167"/>
      <c r="UR167"/>
      <c r="US167"/>
      <c r="UT167"/>
      <c r="UU167"/>
      <c r="UV167"/>
      <c r="UW167"/>
      <c r="UX167"/>
      <c r="UY167"/>
      <c r="UZ167"/>
      <c r="VA167"/>
      <c r="VB167"/>
      <c r="VC167"/>
      <c r="VD167"/>
      <c r="VE167"/>
      <c r="VF167"/>
      <c r="VG167"/>
    </row>
    <row r="168" spans="1:579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/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  <c r="MK168"/>
      <c r="ML168"/>
      <c r="MM168"/>
      <c r="MN168"/>
      <c r="MO168"/>
      <c r="MP168"/>
      <c r="MQ168"/>
      <c r="MR168"/>
      <c r="MS168"/>
      <c r="MT168"/>
      <c r="MU168"/>
      <c r="MV168"/>
      <c r="MW168"/>
      <c r="MX168"/>
      <c r="MY168"/>
      <c r="MZ168"/>
      <c r="NA168"/>
      <c r="NB168"/>
      <c r="NC168"/>
      <c r="ND168"/>
      <c r="NE168"/>
      <c r="NF168"/>
      <c r="NG168"/>
      <c r="NH168"/>
      <c r="NI168"/>
      <c r="NJ168"/>
      <c r="NK168"/>
      <c r="NL168"/>
      <c r="NM168"/>
      <c r="NN168"/>
      <c r="NO168"/>
      <c r="NP168"/>
      <c r="NQ168"/>
      <c r="NR168"/>
      <c r="NS168"/>
      <c r="NT168"/>
      <c r="NU168"/>
      <c r="NV168"/>
      <c r="NW168"/>
      <c r="NX168"/>
      <c r="NY168"/>
      <c r="NZ168"/>
      <c r="OA168"/>
      <c r="OB168"/>
      <c r="OC168"/>
      <c r="OD168"/>
      <c r="OE168"/>
      <c r="OF168"/>
      <c r="OG168"/>
      <c r="OH168"/>
      <c r="OI168"/>
      <c r="OJ168"/>
      <c r="OK168"/>
      <c r="OL168"/>
      <c r="OM168"/>
      <c r="ON168"/>
      <c r="OO168"/>
      <c r="OP168"/>
      <c r="OQ168"/>
      <c r="OR168"/>
      <c r="OS168"/>
      <c r="OT168"/>
      <c r="OU168"/>
      <c r="OV168"/>
      <c r="OW168"/>
      <c r="OX168"/>
      <c r="OY168"/>
      <c r="OZ168"/>
      <c r="PA168"/>
      <c r="PB168"/>
      <c r="PC168"/>
      <c r="PD168"/>
      <c r="PE168"/>
      <c r="PF168"/>
      <c r="PG168"/>
      <c r="PH168"/>
      <c r="PI168"/>
      <c r="PJ168"/>
      <c r="PK168"/>
      <c r="PL168"/>
      <c r="PM168"/>
      <c r="PN168"/>
      <c r="PO168"/>
      <c r="PP168"/>
      <c r="PQ168"/>
      <c r="PR168"/>
      <c r="PS168"/>
      <c r="PT168"/>
      <c r="PU168"/>
      <c r="PV168"/>
      <c r="PW168"/>
      <c r="PX168"/>
      <c r="PY168"/>
      <c r="PZ168"/>
      <c r="QA168"/>
      <c r="QB168"/>
      <c r="QC168"/>
      <c r="QD168"/>
      <c r="QE168"/>
      <c r="QF168"/>
      <c r="QG168"/>
      <c r="QH168"/>
      <c r="QI168"/>
      <c r="QJ168"/>
      <c r="QK168"/>
      <c r="QL168"/>
      <c r="QM168"/>
      <c r="QN168"/>
      <c r="QO168"/>
      <c r="QP168"/>
      <c r="QQ168"/>
      <c r="QR168"/>
      <c r="QS168"/>
      <c r="QT168"/>
      <c r="QU168"/>
      <c r="QV168"/>
      <c r="QW168"/>
      <c r="QX168"/>
      <c r="QY168"/>
      <c r="QZ168"/>
      <c r="RA168"/>
      <c r="RB168"/>
      <c r="RC168"/>
      <c r="RD168"/>
      <c r="RE168"/>
      <c r="RF168"/>
      <c r="RG168"/>
      <c r="RH168"/>
      <c r="RI168"/>
      <c r="RJ168"/>
      <c r="RK168"/>
      <c r="RL168"/>
      <c r="RM168"/>
      <c r="RN168"/>
      <c r="RO168"/>
      <c r="RP168"/>
      <c r="RQ168"/>
      <c r="RR168"/>
      <c r="RS168"/>
      <c r="RT168"/>
      <c r="RU168"/>
      <c r="RV168"/>
      <c r="RW168"/>
      <c r="RX168"/>
      <c r="RY168"/>
      <c r="RZ168"/>
      <c r="SA168"/>
      <c r="SB168"/>
      <c r="SC168"/>
      <c r="SD168"/>
      <c r="SE168"/>
      <c r="SF168"/>
      <c r="SG168"/>
      <c r="SH168"/>
      <c r="SI168"/>
      <c r="SJ168"/>
      <c r="SK168"/>
      <c r="SL168"/>
      <c r="SM168"/>
      <c r="SN168"/>
      <c r="SO168"/>
      <c r="SP168"/>
      <c r="SQ168"/>
      <c r="SR168"/>
      <c r="SS168"/>
      <c r="ST168"/>
      <c r="SU168"/>
      <c r="SV168"/>
      <c r="SW168"/>
      <c r="SX168"/>
      <c r="SY168"/>
      <c r="SZ168"/>
      <c r="TA168"/>
      <c r="TB168"/>
      <c r="TC168"/>
      <c r="TD168"/>
      <c r="TE168"/>
      <c r="TF168"/>
      <c r="TG168"/>
      <c r="TH168"/>
      <c r="TI168"/>
      <c r="TJ168"/>
      <c r="TK168"/>
      <c r="TL168"/>
      <c r="TM168"/>
      <c r="TN168"/>
      <c r="TO168"/>
      <c r="TP168"/>
      <c r="TQ168"/>
      <c r="TR168"/>
      <c r="TS168"/>
      <c r="TT168"/>
      <c r="TU168"/>
      <c r="TV168"/>
      <c r="TW168"/>
      <c r="TX168"/>
      <c r="TY168"/>
      <c r="TZ168"/>
      <c r="UA168"/>
      <c r="UB168"/>
      <c r="UC168"/>
      <c r="UD168"/>
      <c r="UE168"/>
      <c r="UF168"/>
      <c r="UG168"/>
      <c r="UH168"/>
      <c r="UI168"/>
      <c r="UJ168"/>
      <c r="UK168"/>
      <c r="UL168"/>
      <c r="UM168"/>
      <c r="UN168"/>
      <c r="UO168"/>
      <c r="UP168"/>
      <c r="UQ168"/>
      <c r="UR168"/>
      <c r="US168"/>
      <c r="UT168"/>
      <c r="UU168"/>
      <c r="UV168"/>
      <c r="UW168"/>
      <c r="UX168"/>
      <c r="UY168"/>
      <c r="UZ168"/>
      <c r="VA168"/>
      <c r="VB168"/>
      <c r="VC168"/>
      <c r="VD168"/>
      <c r="VE168"/>
      <c r="VF168"/>
      <c r="VG168"/>
    </row>
    <row r="169" spans="1:579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  <c r="NK169"/>
      <c r="NL169"/>
      <c r="NM169"/>
      <c r="NN169"/>
      <c r="NO169"/>
      <c r="NP169"/>
      <c r="NQ169"/>
      <c r="NR169"/>
      <c r="NS169"/>
      <c r="NT169"/>
      <c r="NU169"/>
      <c r="NV169"/>
      <c r="NW169"/>
      <c r="NX169"/>
      <c r="NY169"/>
      <c r="NZ169"/>
      <c r="OA169"/>
      <c r="OB169"/>
      <c r="OC169"/>
      <c r="OD169"/>
      <c r="OE169"/>
      <c r="OF169"/>
      <c r="OG169"/>
      <c r="OH169"/>
      <c r="OI169"/>
      <c r="OJ169"/>
      <c r="OK169"/>
      <c r="OL169"/>
      <c r="OM169"/>
      <c r="ON169"/>
      <c r="OO169"/>
      <c r="OP169"/>
      <c r="OQ169"/>
      <c r="OR169"/>
      <c r="OS169"/>
      <c r="OT169"/>
      <c r="OU169"/>
      <c r="OV169"/>
      <c r="OW169"/>
      <c r="OX169"/>
      <c r="OY169"/>
      <c r="OZ169"/>
      <c r="PA169"/>
      <c r="PB169"/>
      <c r="PC169"/>
      <c r="PD169"/>
      <c r="PE169"/>
      <c r="PF169"/>
      <c r="PG169"/>
      <c r="PH169"/>
      <c r="PI169"/>
      <c r="PJ169"/>
      <c r="PK169"/>
      <c r="PL169"/>
      <c r="PM169"/>
      <c r="PN169"/>
      <c r="PO169"/>
      <c r="PP169"/>
      <c r="PQ169"/>
      <c r="PR169"/>
      <c r="PS169"/>
      <c r="PT169"/>
      <c r="PU169"/>
      <c r="PV169"/>
      <c r="PW169"/>
      <c r="PX169"/>
      <c r="PY169"/>
      <c r="PZ169"/>
      <c r="QA169"/>
      <c r="QB169"/>
      <c r="QC169"/>
      <c r="QD169"/>
      <c r="QE169"/>
      <c r="QF169"/>
      <c r="QG169"/>
      <c r="QH169"/>
      <c r="QI169"/>
      <c r="QJ169"/>
      <c r="QK169"/>
      <c r="QL169"/>
      <c r="QM169"/>
      <c r="QN169"/>
      <c r="QO169"/>
      <c r="QP169"/>
      <c r="QQ169"/>
      <c r="QR169"/>
      <c r="QS169"/>
      <c r="QT169"/>
      <c r="QU169"/>
      <c r="QV169"/>
      <c r="QW169"/>
      <c r="QX169"/>
      <c r="QY169"/>
      <c r="QZ169"/>
      <c r="RA169"/>
      <c r="RB169"/>
      <c r="RC169"/>
      <c r="RD169"/>
      <c r="RE169"/>
      <c r="RF169"/>
      <c r="RG169"/>
      <c r="RH169"/>
      <c r="RI169"/>
      <c r="RJ169"/>
      <c r="RK169"/>
      <c r="RL169"/>
      <c r="RM169"/>
      <c r="RN169"/>
      <c r="RO169"/>
      <c r="RP169"/>
      <c r="RQ169"/>
      <c r="RR169"/>
      <c r="RS169"/>
      <c r="RT169"/>
      <c r="RU169"/>
      <c r="RV169"/>
      <c r="RW169"/>
      <c r="RX169"/>
      <c r="RY169"/>
      <c r="RZ169"/>
      <c r="SA169"/>
      <c r="SB169"/>
      <c r="SC169"/>
      <c r="SD169"/>
      <c r="SE169"/>
      <c r="SF169"/>
      <c r="SG169"/>
      <c r="SH169"/>
      <c r="SI169"/>
      <c r="SJ169"/>
      <c r="SK169"/>
      <c r="SL169"/>
      <c r="SM169"/>
      <c r="SN169"/>
      <c r="SO169"/>
      <c r="SP169"/>
      <c r="SQ169"/>
      <c r="SR169"/>
      <c r="SS169"/>
      <c r="ST169"/>
      <c r="SU169"/>
      <c r="SV169"/>
      <c r="SW169"/>
      <c r="SX169"/>
      <c r="SY169"/>
      <c r="SZ169"/>
      <c r="TA169"/>
      <c r="TB169"/>
      <c r="TC169"/>
      <c r="TD169"/>
      <c r="TE169"/>
      <c r="TF169"/>
      <c r="TG169"/>
      <c r="TH169"/>
      <c r="TI169"/>
      <c r="TJ169"/>
      <c r="TK169"/>
      <c r="TL169"/>
      <c r="TM169"/>
      <c r="TN169"/>
      <c r="TO169"/>
      <c r="TP169"/>
      <c r="TQ169"/>
      <c r="TR169"/>
      <c r="TS169"/>
      <c r="TT169"/>
      <c r="TU169"/>
      <c r="TV169"/>
      <c r="TW169"/>
      <c r="TX169"/>
      <c r="TY169"/>
      <c r="TZ169"/>
      <c r="UA169"/>
      <c r="UB169"/>
      <c r="UC169"/>
      <c r="UD169"/>
      <c r="UE169"/>
      <c r="UF169"/>
      <c r="UG169"/>
      <c r="UH169"/>
      <c r="UI169"/>
      <c r="UJ169"/>
      <c r="UK169"/>
      <c r="UL169"/>
      <c r="UM169"/>
      <c r="UN169"/>
      <c r="UO169"/>
      <c r="UP169"/>
      <c r="UQ169"/>
      <c r="UR169"/>
      <c r="US169"/>
      <c r="UT169"/>
      <c r="UU169"/>
      <c r="UV169"/>
      <c r="UW169"/>
      <c r="UX169"/>
      <c r="UY169"/>
      <c r="UZ169"/>
      <c r="VA169"/>
      <c r="VB169"/>
      <c r="VC169"/>
      <c r="VD169"/>
      <c r="VE169"/>
      <c r="VF169"/>
      <c r="VG169"/>
    </row>
    <row r="170" spans="1:579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/>
      <c r="NL170"/>
      <c r="NM170"/>
      <c r="NN170"/>
      <c r="NO170"/>
      <c r="NP170"/>
      <c r="NQ170"/>
      <c r="NR170"/>
      <c r="NS170"/>
      <c r="NT170"/>
      <c r="NU170"/>
      <c r="NV170"/>
      <c r="NW170"/>
      <c r="NX170"/>
      <c r="NY170"/>
      <c r="NZ170"/>
      <c r="OA170"/>
      <c r="OB170"/>
      <c r="OC170"/>
      <c r="OD170"/>
      <c r="OE170"/>
      <c r="OF170"/>
      <c r="OG170"/>
      <c r="OH170"/>
      <c r="OI170"/>
      <c r="OJ170"/>
      <c r="OK170"/>
      <c r="OL170"/>
      <c r="OM170"/>
      <c r="ON170"/>
      <c r="OO170"/>
      <c r="OP170"/>
      <c r="OQ170"/>
      <c r="OR170"/>
      <c r="OS170"/>
      <c r="OT170"/>
      <c r="OU170"/>
      <c r="OV170"/>
      <c r="OW170"/>
      <c r="OX170"/>
      <c r="OY170"/>
      <c r="OZ170"/>
      <c r="PA170"/>
      <c r="PB170"/>
      <c r="PC170"/>
      <c r="PD170"/>
      <c r="PE170"/>
      <c r="PF170"/>
      <c r="PG170"/>
      <c r="PH170"/>
      <c r="PI170"/>
      <c r="PJ170"/>
      <c r="PK170"/>
      <c r="PL170"/>
      <c r="PM170"/>
      <c r="PN170"/>
      <c r="PO170"/>
      <c r="PP170"/>
      <c r="PQ170"/>
      <c r="PR170"/>
      <c r="PS170"/>
      <c r="PT170"/>
      <c r="PU170"/>
      <c r="PV170"/>
      <c r="PW170"/>
      <c r="PX170"/>
      <c r="PY170"/>
      <c r="PZ170"/>
      <c r="QA170"/>
      <c r="QB170"/>
      <c r="QC170"/>
      <c r="QD170"/>
      <c r="QE170"/>
      <c r="QF170"/>
      <c r="QG170"/>
      <c r="QH170"/>
      <c r="QI170"/>
      <c r="QJ170"/>
      <c r="QK170"/>
      <c r="QL170"/>
      <c r="QM170"/>
      <c r="QN170"/>
      <c r="QO170"/>
      <c r="QP170"/>
      <c r="QQ170"/>
      <c r="QR170"/>
      <c r="QS170"/>
      <c r="QT170"/>
      <c r="QU170"/>
      <c r="QV170"/>
      <c r="QW170"/>
      <c r="QX170"/>
      <c r="QY170"/>
      <c r="QZ170"/>
      <c r="RA170"/>
      <c r="RB170"/>
      <c r="RC170"/>
      <c r="RD170"/>
      <c r="RE170"/>
      <c r="RF170"/>
      <c r="RG170"/>
      <c r="RH170"/>
      <c r="RI170"/>
      <c r="RJ170"/>
      <c r="RK170"/>
      <c r="RL170"/>
      <c r="RM170"/>
      <c r="RN170"/>
      <c r="RO170"/>
      <c r="RP170"/>
      <c r="RQ170"/>
      <c r="RR170"/>
      <c r="RS170"/>
      <c r="RT170"/>
      <c r="RU170"/>
      <c r="RV170"/>
      <c r="RW170"/>
      <c r="RX170"/>
      <c r="RY170"/>
      <c r="RZ170"/>
      <c r="SA170"/>
      <c r="SB170"/>
      <c r="SC170"/>
      <c r="SD170"/>
      <c r="SE170"/>
      <c r="SF170"/>
      <c r="SG170"/>
      <c r="SH170"/>
      <c r="SI170"/>
      <c r="SJ170"/>
      <c r="SK170"/>
      <c r="SL170"/>
      <c r="SM170"/>
      <c r="SN170"/>
      <c r="SO170"/>
      <c r="SP170"/>
      <c r="SQ170"/>
      <c r="SR170"/>
      <c r="SS170"/>
      <c r="ST170"/>
      <c r="SU170"/>
      <c r="SV170"/>
      <c r="SW170"/>
      <c r="SX170"/>
      <c r="SY170"/>
      <c r="SZ170"/>
      <c r="TA170"/>
      <c r="TB170"/>
      <c r="TC170"/>
      <c r="TD170"/>
      <c r="TE170"/>
      <c r="TF170"/>
      <c r="TG170"/>
      <c r="TH170"/>
      <c r="TI170"/>
      <c r="TJ170"/>
      <c r="TK170"/>
      <c r="TL170"/>
      <c r="TM170"/>
      <c r="TN170"/>
      <c r="TO170"/>
      <c r="TP170"/>
      <c r="TQ170"/>
      <c r="TR170"/>
      <c r="TS170"/>
      <c r="TT170"/>
      <c r="TU170"/>
      <c r="TV170"/>
      <c r="TW170"/>
      <c r="TX170"/>
      <c r="TY170"/>
      <c r="TZ170"/>
      <c r="UA170"/>
      <c r="UB170"/>
      <c r="UC170"/>
      <c r="UD170"/>
      <c r="UE170"/>
      <c r="UF170"/>
      <c r="UG170"/>
      <c r="UH170"/>
      <c r="UI170"/>
      <c r="UJ170"/>
      <c r="UK170"/>
      <c r="UL170"/>
      <c r="UM170"/>
      <c r="UN170"/>
      <c r="UO170"/>
      <c r="UP170"/>
      <c r="UQ170"/>
      <c r="UR170"/>
      <c r="US170"/>
      <c r="UT170"/>
      <c r="UU170"/>
      <c r="UV170"/>
      <c r="UW170"/>
      <c r="UX170"/>
      <c r="UY170"/>
      <c r="UZ170"/>
      <c r="VA170"/>
      <c r="VB170"/>
      <c r="VC170"/>
      <c r="VD170"/>
      <c r="VE170"/>
      <c r="VF170"/>
      <c r="VG170"/>
    </row>
    <row r="171" spans="1:579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/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/>
      <c r="MY171"/>
      <c r="MZ171"/>
      <c r="NA171"/>
      <c r="NB171"/>
      <c r="NC171"/>
      <c r="ND171"/>
      <c r="NE171"/>
      <c r="NF171"/>
      <c r="NG171"/>
      <c r="NH171"/>
      <c r="NI171"/>
      <c r="NJ171"/>
      <c r="NK171"/>
      <c r="NL171"/>
      <c r="NM171"/>
      <c r="NN171"/>
      <c r="NO171"/>
      <c r="NP171"/>
      <c r="NQ171"/>
      <c r="NR171"/>
      <c r="NS171"/>
      <c r="NT171"/>
      <c r="NU171"/>
      <c r="NV171"/>
      <c r="NW171"/>
      <c r="NX171"/>
      <c r="NY171"/>
      <c r="NZ171"/>
      <c r="OA171"/>
      <c r="OB171"/>
      <c r="OC171"/>
      <c r="OD171"/>
      <c r="OE171"/>
      <c r="OF171"/>
      <c r="OG171"/>
      <c r="OH171"/>
      <c r="OI171"/>
      <c r="OJ171"/>
      <c r="OK171"/>
      <c r="OL171"/>
      <c r="OM171"/>
      <c r="ON171"/>
      <c r="OO171"/>
      <c r="OP171"/>
      <c r="OQ171"/>
      <c r="OR171"/>
      <c r="OS171"/>
      <c r="OT171"/>
      <c r="OU171"/>
      <c r="OV171"/>
      <c r="OW171"/>
      <c r="OX171"/>
      <c r="OY171"/>
      <c r="OZ171"/>
      <c r="PA171"/>
      <c r="PB171"/>
      <c r="PC171"/>
      <c r="PD171"/>
      <c r="PE171"/>
      <c r="PF171"/>
      <c r="PG171"/>
      <c r="PH171"/>
      <c r="PI171"/>
      <c r="PJ171"/>
      <c r="PK171"/>
      <c r="PL171"/>
      <c r="PM171"/>
      <c r="PN171"/>
      <c r="PO171"/>
      <c r="PP171"/>
      <c r="PQ171"/>
      <c r="PR171"/>
      <c r="PS171"/>
      <c r="PT171"/>
      <c r="PU171"/>
      <c r="PV171"/>
      <c r="PW171"/>
      <c r="PX171"/>
      <c r="PY171"/>
      <c r="PZ171"/>
      <c r="QA171"/>
      <c r="QB171"/>
      <c r="QC171"/>
      <c r="QD171"/>
      <c r="QE171"/>
      <c r="QF171"/>
      <c r="QG171"/>
      <c r="QH171"/>
      <c r="QI171"/>
      <c r="QJ171"/>
      <c r="QK171"/>
      <c r="QL171"/>
      <c r="QM171"/>
      <c r="QN171"/>
      <c r="QO171"/>
      <c r="QP171"/>
      <c r="QQ171"/>
      <c r="QR171"/>
      <c r="QS171"/>
      <c r="QT171"/>
      <c r="QU171"/>
      <c r="QV171"/>
      <c r="QW171"/>
      <c r="QX171"/>
      <c r="QY171"/>
      <c r="QZ171"/>
      <c r="RA171"/>
      <c r="RB171"/>
      <c r="RC171"/>
      <c r="RD171"/>
      <c r="RE171"/>
      <c r="RF171"/>
      <c r="RG171"/>
      <c r="RH171"/>
      <c r="RI171"/>
      <c r="RJ171"/>
      <c r="RK171"/>
      <c r="RL171"/>
      <c r="RM171"/>
      <c r="RN171"/>
      <c r="RO171"/>
      <c r="RP171"/>
      <c r="RQ171"/>
      <c r="RR171"/>
      <c r="RS171"/>
      <c r="RT171"/>
      <c r="RU171"/>
      <c r="RV171"/>
      <c r="RW171"/>
      <c r="RX171"/>
      <c r="RY171"/>
      <c r="RZ171"/>
      <c r="SA171"/>
      <c r="SB171"/>
      <c r="SC171"/>
      <c r="SD171"/>
      <c r="SE171"/>
      <c r="SF171"/>
      <c r="SG171"/>
      <c r="SH171"/>
      <c r="SI171"/>
      <c r="SJ171"/>
      <c r="SK171"/>
      <c r="SL171"/>
      <c r="SM171"/>
      <c r="SN171"/>
      <c r="SO171"/>
      <c r="SP171"/>
      <c r="SQ171"/>
      <c r="SR171"/>
      <c r="SS171"/>
      <c r="ST171"/>
      <c r="SU171"/>
      <c r="SV171"/>
      <c r="SW171"/>
      <c r="SX171"/>
      <c r="SY171"/>
      <c r="SZ171"/>
      <c r="TA171"/>
      <c r="TB171"/>
      <c r="TC171"/>
      <c r="TD171"/>
      <c r="TE171"/>
      <c r="TF171"/>
      <c r="TG171"/>
      <c r="TH171"/>
      <c r="TI171"/>
      <c r="TJ171"/>
      <c r="TK171"/>
      <c r="TL171"/>
      <c r="TM171"/>
      <c r="TN171"/>
      <c r="TO171"/>
      <c r="TP171"/>
      <c r="TQ171"/>
      <c r="TR171"/>
      <c r="TS171"/>
      <c r="TT171"/>
      <c r="TU171"/>
      <c r="TV171"/>
      <c r="TW171"/>
      <c r="TX171"/>
      <c r="TY171"/>
      <c r="TZ171"/>
      <c r="UA171"/>
      <c r="UB171"/>
      <c r="UC171"/>
      <c r="UD171"/>
      <c r="UE171"/>
      <c r="UF171"/>
      <c r="UG171"/>
      <c r="UH171"/>
      <c r="UI171"/>
      <c r="UJ171"/>
      <c r="UK171"/>
      <c r="UL171"/>
      <c r="UM171"/>
      <c r="UN171"/>
      <c r="UO171"/>
      <c r="UP171"/>
      <c r="UQ171"/>
      <c r="UR171"/>
      <c r="US171"/>
      <c r="UT171"/>
      <c r="UU171"/>
      <c r="UV171"/>
      <c r="UW171"/>
      <c r="UX171"/>
      <c r="UY171"/>
      <c r="UZ171"/>
      <c r="VA171"/>
      <c r="VB171"/>
      <c r="VC171"/>
      <c r="VD171"/>
      <c r="VE171"/>
      <c r="VF171"/>
      <c r="VG171"/>
    </row>
    <row r="172" spans="1:579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/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  <c r="LK172"/>
      <c r="LL172"/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  <c r="MK172"/>
      <c r="ML172"/>
      <c r="MM172"/>
      <c r="MN172"/>
      <c r="MO172"/>
      <c r="MP172"/>
      <c r="MQ172"/>
      <c r="MR172"/>
      <c r="MS172"/>
      <c r="MT172"/>
      <c r="MU172"/>
      <c r="MV172"/>
      <c r="MW172"/>
      <c r="MX172"/>
      <c r="MY172"/>
      <c r="MZ172"/>
      <c r="NA172"/>
      <c r="NB172"/>
      <c r="NC172"/>
      <c r="ND172"/>
      <c r="NE172"/>
      <c r="NF172"/>
      <c r="NG172"/>
      <c r="NH172"/>
      <c r="NI172"/>
      <c r="NJ172"/>
      <c r="NK172"/>
      <c r="NL172"/>
      <c r="NM172"/>
      <c r="NN172"/>
      <c r="NO172"/>
      <c r="NP172"/>
      <c r="NQ172"/>
      <c r="NR172"/>
      <c r="NS172"/>
      <c r="NT172"/>
      <c r="NU172"/>
      <c r="NV172"/>
      <c r="NW172"/>
      <c r="NX172"/>
      <c r="NY172"/>
      <c r="NZ172"/>
      <c r="OA172"/>
      <c r="OB172"/>
      <c r="OC172"/>
      <c r="OD172"/>
      <c r="OE172"/>
      <c r="OF172"/>
      <c r="OG172"/>
      <c r="OH172"/>
      <c r="OI172"/>
      <c r="OJ172"/>
      <c r="OK172"/>
      <c r="OL172"/>
      <c r="OM172"/>
      <c r="ON172"/>
      <c r="OO172"/>
      <c r="OP172"/>
      <c r="OQ172"/>
      <c r="OR172"/>
      <c r="OS172"/>
      <c r="OT172"/>
      <c r="OU172"/>
      <c r="OV172"/>
      <c r="OW172"/>
      <c r="OX172"/>
      <c r="OY172"/>
      <c r="OZ172"/>
      <c r="PA172"/>
      <c r="PB172"/>
      <c r="PC172"/>
      <c r="PD172"/>
      <c r="PE172"/>
      <c r="PF172"/>
      <c r="PG172"/>
      <c r="PH172"/>
      <c r="PI172"/>
      <c r="PJ172"/>
      <c r="PK172"/>
      <c r="PL172"/>
      <c r="PM172"/>
      <c r="PN172"/>
      <c r="PO172"/>
      <c r="PP172"/>
      <c r="PQ172"/>
      <c r="PR172"/>
      <c r="PS172"/>
      <c r="PT172"/>
      <c r="PU172"/>
      <c r="PV172"/>
      <c r="PW172"/>
      <c r="PX172"/>
      <c r="PY172"/>
      <c r="PZ172"/>
      <c r="QA172"/>
      <c r="QB172"/>
      <c r="QC172"/>
      <c r="QD172"/>
      <c r="QE172"/>
      <c r="QF172"/>
      <c r="QG172"/>
      <c r="QH172"/>
      <c r="QI172"/>
      <c r="QJ172"/>
      <c r="QK172"/>
      <c r="QL172"/>
      <c r="QM172"/>
      <c r="QN172"/>
      <c r="QO172"/>
      <c r="QP172"/>
      <c r="QQ172"/>
      <c r="QR172"/>
      <c r="QS172"/>
      <c r="QT172"/>
      <c r="QU172"/>
      <c r="QV172"/>
      <c r="QW172"/>
      <c r="QX172"/>
      <c r="QY172"/>
      <c r="QZ172"/>
      <c r="RA172"/>
      <c r="RB172"/>
      <c r="RC172"/>
      <c r="RD172"/>
      <c r="RE172"/>
      <c r="RF172"/>
      <c r="RG172"/>
      <c r="RH172"/>
      <c r="RI172"/>
      <c r="RJ172"/>
      <c r="RK172"/>
      <c r="RL172"/>
      <c r="RM172"/>
      <c r="RN172"/>
      <c r="RO172"/>
      <c r="RP172"/>
      <c r="RQ172"/>
      <c r="RR172"/>
      <c r="RS172"/>
      <c r="RT172"/>
      <c r="RU172"/>
      <c r="RV172"/>
      <c r="RW172"/>
      <c r="RX172"/>
      <c r="RY172"/>
      <c r="RZ172"/>
      <c r="SA172"/>
      <c r="SB172"/>
      <c r="SC172"/>
      <c r="SD172"/>
      <c r="SE172"/>
      <c r="SF172"/>
      <c r="SG172"/>
      <c r="SH172"/>
      <c r="SI172"/>
      <c r="SJ172"/>
      <c r="SK172"/>
      <c r="SL172"/>
      <c r="SM172"/>
      <c r="SN172"/>
      <c r="SO172"/>
      <c r="SP172"/>
      <c r="SQ172"/>
      <c r="SR172"/>
      <c r="SS172"/>
      <c r="ST172"/>
      <c r="SU172"/>
      <c r="SV172"/>
      <c r="SW172"/>
      <c r="SX172"/>
      <c r="SY172"/>
      <c r="SZ172"/>
      <c r="TA172"/>
      <c r="TB172"/>
      <c r="TC172"/>
      <c r="TD172"/>
      <c r="TE172"/>
      <c r="TF172"/>
      <c r="TG172"/>
      <c r="TH172"/>
      <c r="TI172"/>
      <c r="TJ172"/>
      <c r="TK172"/>
      <c r="TL172"/>
      <c r="TM172"/>
      <c r="TN172"/>
      <c r="TO172"/>
      <c r="TP172"/>
      <c r="TQ172"/>
      <c r="TR172"/>
      <c r="TS172"/>
      <c r="TT172"/>
      <c r="TU172"/>
      <c r="TV172"/>
      <c r="TW172"/>
      <c r="TX172"/>
      <c r="TY172"/>
      <c r="TZ172"/>
      <c r="UA172"/>
      <c r="UB172"/>
      <c r="UC172"/>
      <c r="UD172"/>
      <c r="UE172"/>
      <c r="UF172"/>
      <c r="UG172"/>
      <c r="UH172"/>
      <c r="UI172"/>
      <c r="UJ172"/>
      <c r="UK172"/>
      <c r="UL172"/>
      <c r="UM172"/>
      <c r="UN172"/>
      <c r="UO172"/>
      <c r="UP172"/>
      <c r="UQ172"/>
      <c r="UR172"/>
      <c r="US172"/>
      <c r="UT172"/>
      <c r="UU172"/>
      <c r="UV172"/>
      <c r="UW172"/>
      <c r="UX172"/>
      <c r="UY172"/>
      <c r="UZ172"/>
      <c r="VA172"/>
      <c r="VB172"/>
      <c r="VC172"/>
      <c r="VD172"/>
      <c r="VE172"/>
      <c r="VF172"/>
      <c r="VG172"/>
    </row>
    <row r="173" spans="1:579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/>
      <c r="NL173"/>
      <c r="NM173"/>
      <c r="NN173"/>
      <c r="NO173"/>
      <c r="NP173"/>
      <c r="NQ173"/>
      <c r="NR173"/>
      <c r="NS173"/>
      <c r="NT173"/>
      <c r="NU173"/>
      <c r="NV173"/>
      <c r="NW173"/>
      <c r="NX173"/>
      <c r="NY173"/>
      <c r="NZ173"/>
      <c r="OA173"/>
      <c r="OB173"/>
      <c r="OC173"/>
      <c r="OD173"/>
      <c r="OE173"/>
      <c r="OF173"/>
      <c r="OG173"/>
      <c r="OH173"/>
      <c r="OI173"/>
      <c r="OJ173"/>
      <c r="OK173"/>
      <c r="OL173"/>
      <c r="OM173"/>
      <c r="ON173"/>
      <c r="OO173"/>
      <c r="OP173"/>
      <c r="OQ173"/>
      <c r="OR173"/>
      <c r="OS173"/>
      <c r="OT173"/>
      <c r="OU173"/>
      <c r="OV173"/>
      <c r="OW173"/>
      <c r="OX173"/>
      <c r="OY173"/>
      <c r="OZ173"/>
      <c r="PA173"/>
      <c r="PB173"/>
      <c r="PC173"/>
      <c r="PD173"/>
      <c r="PE173"/>
      <c r="PF173"/>
      <c r="PG173"/>
      <c r="PH173"/>
      <c r="PI173"/>
      <c r="PJ173"/>
      <c r="PK173"/>
      <c r="PL173"/>
      <c r="PM173"/>
      <c r="PN173"/>
      <c r="PO173"/>
      <c r="PP173"/>
      <c r="PQ173"/>
      <c r="PR173"/>
      <c r="PS173"/>
      <c r="PT173"/>
      <c r="PU173"/>
      <c r="PV173"/>
      <c r="PW173"/>
      <c r="PX173"/>
      <c r="PY173"/>
      <c r="PZ173"/>
      <c r="QA173"/>
      <c r="QB173"/>
      <c r="QC173"/>
      <c r="QD173"/>
      <c r="QE173"/>
      <c r="QF173"/>
      <c r="QG173"/>
      <c r="QH173"/>
      <c r="QI173"/>
      <c r="QJ173"/>
      <c r="QK173"/>
      <c r="QL173"/>
      <c r="QM173"/>
      <c r="QN173"/>
      <c r="QO173"/>
      <c r="QP173"/>
      <c r="QQ173"/>
      <c r="QR173"/>
      <c r="QS173"/>
      <c r="QT173"/>
      <c r="QU173"/>
      <c r="QV173"/>
      <c r="QW173"/>
      <c r="QX173"/>
      <c r="QY173"/>
      <c r="QZ173"/>
      <c r="RA173"/>
      <c r="RB173"/>
      <c r="RC173"/>
      <c r="RD173"/>
      <c r="RE173"/>
      <c r="RF173"/>
      <c r="RG173"/>
      <c r="RH173"/>
      <c r="RI173"/>
      <c r="RJ173"/>
      <c r="RK173"/>
      <c r="RL173"/>
      <c r="RM173"/>
      <c r="RN173"/>
      <c r="RO173"/>
      <c r="RP173"/>
      <c r="RQ173"/>
      <c r="RR173"/>
      <c r="RS173"/>
      <c r="RT173"/>
      <c r="RU173"/>
      <c r="RV173"/>
      <c r="RW173"/>
      <c r="RX173"/>
      <c r="RY173"/>
      <c r="RZ173"/>
      <c r="SA173"/>
      <c r="SB173"/>
      <c r="SC173"/>
      <c r="SD173"/>
      <c r="SE173"/>
      <c r="SF173"/>
      <c r="SG173"/>
      <c r="SH173"/>
      <c r="SI173"/>
      <c r="SJ173"/>
      <c r="SK173"/>
      <c r="SL173"/>
      <c r="SM173"/>
      <c r="SN173"/>
      <c r="SO173"/>
      <c r="SP173"/>
      <c r="SQ173"/>
      <c r="SR173"/>
      <c r="SS173"/>
      <c r="ST173"/>
      <c r="SU173"/>
      <c r="SV173"/>
      <c r="SW173"/>
      <c r="SX173"/>
      <c r="SY173"/>
      <c r="SZ173"/>
      <c r="TA173"/>
      <c r="TB173"/>
      <c r="TC173"/>
      <c r="TD173"/>
      <c r="TE173"/>
      <c r="TF173"/>
      <c r="TG173"/>
      <c r="TH173"/>
      <c r="TI173"/>
      <c r="TJ173"/>
      <c r="TK173"/>
      <c r="TL173"/>
      <c r="TM173"/>
      <c r="TN173"/>
      <c r="TO173"/>
      <c r="TP173"/>
      <c r="TQ173"/>
      <c r="TR173"/>
      <c r="TS173"/>
      <c r="TT173"/>
      <c r="TU173"/>
      <c r="TV173"/>
      <c r="TW173"/>
      <c r="TX173"/>
      <c r="TY173"/>
      <c r="TZ173"/>
      <c r="UA173"/>
      <c r="UB173"/>
      <c r="UC173"/>
      <c r="UD173"/>
      <c r="UE173"/>
      <c r="UF173"/>
      <c r="UG173"/>
      <c r="UH173"/>
      <c r="UI173"/>
      <c r="UJ173"/>
      <c r="UK173"/>
      <c r="UL173"/>
      <c r="UM173"/>
      <c r="UN173"/>
      <c r="UO173"/>
      <c r="UP173"/>
      <c r="UQ173"/>
      <c r="UR173"/>
      <c r="US173"/>
      <c r="UT173"/>
      <c r="UU173"/>
      <c r="UV173"/>
      <c r="UW173"/>
      <c r="UX173"/>
      <c r="UY173"/>
      <c r="UZ173"/>
      <c r="VA173"/>
      <c r="VB173"/>
      <c r="VC173"/>
      <c r="VD173"/>
      <c r="VE173"/>
      <c r="VF173"/>
      <c r="VG173"/>
    </row>
    <row r="174" spans="1:579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/>
      <c r="MH174"/>
      <c r="MI174"/>
      <c r="MJ174"/>
      <c r="MK174"/>
      <c r="ML174"/>
      <c r="MM174"/>
      <c r="MN174"/>
      <c r="MO174"/>
      <c r="MP174"/>
      <c r="MQ174"/>
      <c r="MR174"/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  <c r="NK174"/>
      <c r="NL174"/>
      <c r="NM174"/>
      <c r="NN174"/>
      <c r="NO174"/>
      <c r="NP174"/>
      <c r="NQ174"/>
      <c r="NR174"/>
      <c r="NS174"/>
      <c r="NT174"/>
      <c r="NU174"/>
      <c r="NV174"/>
      <c r="NW174"/>
      <c r="NX174"/>
      <c r="NY174"/>
      <c r="NZ174"/>
      <c r="OA174"/>
      <c r="OB174"/>
      <c r="OC174"/>
      <c r="OD174"/>
      <c r="OE174"/>
      <c r="OF174"/>
      <c r="OG174"/>
      <c r="OH174"/>
      <c r="OI174"/>
      <c r="OJ174"/>
      <c r="OK174"/>
      <c r="OL174"/>
      <c r="OM174"/>
      <c r="ON174"/>
      <c r="OO174"/>
      <c r="OP174"/>
      <c r="OQ174"/>
      <c r="OR174"/>
      <c r="OS174"/>
      <c r="OT174"/>
      <c r="OU174"/>
      <c r="OV174"/>
      <c r="OW174"/>
      <c r="OX174"/>
      <c r="OY174"/>
      <c r="OZ174"/>
      <c r="PA174"/>
      <c r="PB174"/>
      <c r="PC174"/>
      <c r="PD174"/>
      <c r="PE174"/>
      <c r="PF174"/>
      <c r="PG174"/>
      <c r="PH174"/>
      <c r="PI174"/>
      <c r="PJ174"/>
      <c r="PK174"/>
      <c r="PL174"/>
      <c r="PM174"/>
      <c r="PN174"/>
      <c r="PO174"/>
      <c r="PP174"/>
      <c r="PQ174"/>
      <c r="PR174"/>
      <c r="PS174"/>
      <c r="PT174"/>
      <c r="PU174"/>
      <c r="PV174"/>
      <c r="PW174"/>
      <c r="PX174"/>
      <c r="PY174"/>
      <c r="PZ174"/>
      <c r="QA174"/>
      <c r="QB174"/>
      <c r="QC174"/>
      <c r="QD174"/>
      <c r="QE174"/>
      <c r="QF174"/>
      <c r="QG174"/>
      <c r="QH174"/>
      <c r="QI174"/>
      <c r="QJ174"/>
      <c r="QK174"/>
      <c r="QL174"/>
      <c r="QM174"/>
      <c r="QN174"/>
      <c r="QO174"/>
      <c r="QP174"/>
      <c r="QQ174"/>
      <c r="QR174"/>
      <c r="QS174"/>
      <c r="QT174"/>
      <c r="QU174"/>
      <c r="QV174"/>
      <c r="QW174"/>
      <c r="QX174"/>
      <c r="QY174"/>
      <c r="QZ174"/>
      <c r="RA174"/>
      <c r="RB174"/>
      <c r="RC174"/>
      <c r="RD174"/>
      <c r="RE174"/>
      <c r="RF174"/>
      <c r="RG174"/>
      <c r="RH174"/>
      <c r="RI174"/>
      <c r="RJ174"/>
      <c r="RK174"/>
      <c r="RL174"/>
      <c r="RM174"/>
      <c r="RN174"/>
      <c r="RO174"/>
      <c r="RP174"/>
      <c r="RQ174"/>
      <c r="RR174"/>
      <c r="RS174"/>
      <c r="RT174"/>
      <c r="RU174"/>
      <c r="RV174"/>
      <c r="RW174"/>
      <c r="RX174"/>
      <c r="RY174"/>
      <c r="RZ174"/>
      <c r="SA174"/>
      <c r="SB174"/>
      <c r="SC174"/>
      <c r="SD174"/>
      <c r="SE174"/>
      <c r="SF174"/>
      <c r="SG174"/>
      <c r="SH174"/>
      <c r="SI174"/>
      <c r="SJ174"/>
      <c r="SK174"/>
      <c r="SL174"/>
      <c r="SM174"/>
      <c r="SN174"/>
      <c r="SO174"/>
      <c r="SP174"/>
      <c r="SQ174"/>
      <c r="SR174"/>
      <c r="SS174"/>
      <c r="ST174"/>
      <c r="SU174"/>
      <c r="SV174"/>
      <c r="SW174"/>
      <c r="SX174"/>
      <c r="SY174"/>
      <c r="SZ174"/>
      <c r="TA174"/>
      <c r="TB174"/>
      <c r="TC174"/>
      <c r="TD174"/>
      <c r="TE174"/>
      <c r="TF174"/>
      <c r="TG174"/>
      <c r="TH174"/>
      <c r="TI174"/>
      <c r="TJ174"/>
      <c r="TK174"/>
      <c r="TL174"/>
      <c r="TM174"/>
      <c r="TN174"/>
      <c r="TO174"/>
      <c r="TP174"/>
      <c r="TQ174"/>
      <c r="TR174"/>
      <c r="TS174"/>
      <c r="TT174"/>
      <c r="TU174"/>
      <c r="TV174"/>
      <c r="TW174"/>
      <c r="TX174"/>
      <c r="TY174"/>
      <c r="TZ174"/>
      <c r="UA174"/>
      <c r="UB174"/>
      <c r="UC174"/>
      <c r="UD174"/>
      <c r="UE174"/>
      <c r="UF174"/>
      <c r="UG174"/>
      <c r="UH174"/>
      <c r="UI174"/>
      <c r="UJ174"/>
      <c r="UK174"/>
      <c r="UL174"/>
      <c r="UM174"/>
      <c r="UN174"/>
      <c r="UO174"/>
      <c r="UP174"/>
      <c r="UQ174"/>
      <c r="UR174"/>
      <c r="US174"/>
      <c r="UT174"/>
      <c r="UU174"/>
      <c r="UV174"/>
      <c r="UW174"/>
      <c r="UX174"/>
      <c r="UY174"/>
      <c r="UZ174"/>
      <c r="VA174"/>
      <c r="VB174"/>
      <c r="VC174"/>
      <c r="VD174"/>
      <c r="VE174"/>
      <c r="VF174"/>
      <c r="VG174"/>
    </row>
    <row r="175" spans="1:579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/>
      <c r="NL175"/>
      <c r="NM175"/>
      <c r="NN175"/>
      <c r="NO175"/>
      <c r="NP175"/>
      <c r="NQ175"/>
      <c r="NR175"/>
      <c r="NS175"/>
      <c r="NT175"/>
      <c r="NU175"/>
      <c r="NV175"/>
      <c r="NW175"/>
      <c r="NX175"/>
      <c r="NY175"/>
      <c r="NZ175"/>
      <c r="OA175"/>
      <c r="OB175"/>
      <c r="OC175"/>
      <c r="OD175"/>
      <c r="OE175"/>
      <c r="OF175"/>
      <c r="OG175"/>
      <c r="OH175"/>
      <c r="OI175"/>
      <c r="OJ175"/>
      <c r="OK175"/>
      <c r="OL175"/>
      <c r="OM175"/>
      <c r="ON175"/>
      <c r="OO175"/>
      <c r="OP175"/>
      <c r="OQ175"/>
      <c r="OR175"/>
      <c r="OS175"/>
      <c r="OT175"/>
      <c r="OU175"/>
      <c r="OV175"/>
      <c r="OW175"/>
      <c r="OX175"/>
      <c r="OY175"/>
      <c r="OZ175"/>
      <c r="PA175"/>
      <c r="PB175"/>
      <c r="PC175"/>
      <c r="PD175"/>
      <c r="PE175"/>
      <c r="PF175"/>
      <c r="PG175"/>
      <c r="PH175"/>
      <c r="PI175"/>
      <c r="PJ175"/>
      <c r="PK175"/>
      <c r="PL175"/>
      <c r="PM175"/>
      <c r="PN175"/>
      <c r="PO175"/>
      <c r="PP175"/>
      <c r="PQ175"/>
      <c r="PR175"/>
      <c r="PS175"/>
      <c r="PT175"/>
      <c r="PU175"/>
      <c r="PV175"/>
      <c r="PW175"/>
      <c r="PX175"/>
      <c r="PY175"/>
      <c r="PZ175"/>
      <c r="QA175"/>
      <c r="QB175"/>
      <c r="QC175"/>
      <c r="QD175"/>
      <c r="QE175"/>
      <c r="QF175"/>
      <c r="QG175"/>
      <c r="QH175"/>
      <c r="QI175"/>
      <c r="QJ175"/>
      <c r="QK175"/>
      <c r="QL175"/>
      <c r="QM175"/>
      <c r="QN175"/>
      <c r="QO175"/>
      <c r="QP175"/>
      <c r="QQ175"/>
      <c r="QR175"/>
      <c r="QS175"/>
      <c r="QT175"/>
      <c r="QU175"/>
      <c r="QV175"/>
      <c r="QW175"/>
      <c r="QX175"/>
      <c r="QY175"/>
      <c r="QZ175"/>
      <c r="RA175"/>
      <c r="RB175"/>
      <c r="RC175"/>
      <c r="RD175"/>
      <c r="RE175"/>
      <c r="RF175"/>
      <c r="RG175"/>
      <c r="RH175"/>
      <c r="RI175"/>
      <c r="RJ175"/>
      <c r="RK175"/>
      <c r="RL175"/>
      <c r="RM175"/>
      <c r="RN175"/>
      <c r="RO175"/>
      <c r="RP175"/>
      <c r="RQ175"/>
      <c r="RR175"/>
      <c r="RS175"/>
      <c r="RT175"/>
      <c r="RU175"/>
      <c r="RV175"/>
      <c r="RW175"/>
      <c r="RX175"/>
      <c r="RY175"/>
      <c r="RZ175"/>
      <c r="SA175"/>
      <c r="SB175"/>
      <c r="SC175"/>
      <c r="SD175"/>
      <c r="SE175"/>
      <c r="SF175"/>
      <c r="SG175"/>
      <c r="SH175"/>
      <c r="SI175"/>
      <c r="SJ175"/>
      <c r="SK175"/>
      <c r="SL175"/>
      <c r="SM175"/>
      <c r="SN175"/>
      <c r="SO175"/>
      <c r="SP175"/>
      <c r="SQ175"/>
      <c r="SR175"/>
      <c r="SS175"/>
      <c r="ST175"/>
      <c r="SU175"/>
      <c r="SV175"/>
      <c r="SW175"/>
      <c r="SX175"/>
      <c r="SY175"/>
      <c r="SZ175"/>
      <c r="TA175"/>
      <c r="TB175"/>
      <c r="TC175"/>
      <c r="TD175"/>
      <c r="TE175"/>
      <c r="TF175"/>
      <c r="TG175"/>
      <c r="TH175"/>
      <c r="TI175"/>
      <c r="TJ175"/>
      <c r="TK175"/>
      <c r="TL175"/>
      <c r="TM175"/>
      <c r="TN175"/>
      <c r="TO175"/>
      <c r="TP175"/>
      <c r="TQ175"/>
      <c r="TR175"/>
      <c r="TS175"/>
      <c r="TT175"/>
      <c r="TU175"/>
      <c r="TV175"/>
      <c r="TW175"/>
      <c r="TX175"/>
      <c r="TY175"/>
      <c r="TZ175"/>
      <c r="UA175"/>
      <c r="UB175"/>
      <c r="UC175"/>
      <c r="UD175"/>
      <c r="UE175"/>
      <c r="UF175"/>
      <c r="UG175"/>
      <c r="UH175"/>
      <c r="UI175"/>
      <c r="UJ175"/>
      <c r="UK175"/>
      <c r="UL175"/>
      <c r="UM175"/>
      <c r="UN175"/>
      <c r="UO175"/>
      <c r="UP175"/>
      <c r="UQ175"/>
      <c r="UR175"/>
      <c r="US175"/>
      <c r="UT175"/>
      <c r="UU175"/>
      <c r="UV175"/>
      <c r="UW175"/>
      <c r="UX175"/>
      <c r="UY175"/>
      <c r="UZ175"/>
      <c r="VA175"/>
      <c r="VB175"/>
      <c r="VC175"/>
      <c r="VD175"/>
      <c r="VE175"/>
      <c r="VF175"/>
      <c r="VG175"/>
    </row>
    <row r="176" spans="1:579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/>
      <c r="NL176"/>
      <c r="NM176"/>
      <c r="NN176"/>
      <c r="NO176"/>
      <c r="NP176"/>
      <c r="NQ176"/>
      <c r="NR176"/>
      <c r="NS176"/>
      <c r="NT176"/>
      <c r="NU176"/>
      <c r="NV176"/>
      <c r="NW176"/>
      <c r="NX176"/>
      <c r="NY176"/>
      <c r="NZ176"/>
      <c r="OA176"/>
      <c r="OB176"/>
      <c r="OC176"/>
      <c r="OD176"/>
      <c r="OE176"/>
      <c r="OF176"/>
      <c r="OG176"/>
      <c r="OH176"/>
      <c r="OI176"/>
      <c r="OJ176"/>
      <c r="OK176"/>
      <c r="OL176"/>
      <c r="OM176"/>
      <c r="ON176"/>
      <c r="OO176"/>
      <c r="OP176"/>
      <c r="OQ176"/>
      <c r="OR176"/>
      <c r="OS176"/>
      <c r="OT176"/>
      <c r="OU176"/>
      <c r="OV176"/>
      <c r="OW176"/>
      <c r="OX176"/>
      <c r="OY176"/>
      <c r="OZ176"/>
      <c r="PA176"/>
      <c r="PB176"/>
      <c r="PC176"/>
      <c r="PD176"/>
      <c r="PE176"/>
      <c r="PF176"/>
      <c r="PG176"/>
      <c r="PH176"/>
      <c r="PI176"/>
      <c r="PJ176"/>
      <c r="PK176"/>
      <c r="PL176"/>
      <c r="PM176"/>
      <c r="PN176"/>
      <c r="PO176"/>
      <c r="PP176"/>
      <c r="PQ176"/>
      <c r="PR176"/>
      <c r="PS176"/>
      <c r="PT176"/>
      <c r="PU176"/>
      <c r="PV176"/>
      <c r="PW176"/>
      <c r="PX176"/>
      <c r="PY176"/>
      <c r="PZ176"/>
      <c r="QA176"/>
      <c r="QB176"/>
      <c r="QC176"/>
      <c r="QD176"/>
      <c r="QE176"/>
      <c r="QF176"/>
      <c r="QG176"/>
      <c r="QH176"/>
      <c r="QI176"/>
      <c r="QJ176"/>
      <c r="QK176"/>
      <c r="QL176"/>
      <c r="QM176"/>
      <c r="QN176"/>
      <c r="QO176"/>
      <c r="QP176"/>
      <c r="QQ176"/>
      <c r="QR176"/>
      <c r="QS176"/>
      <c r="QT176"/>
      <c r="QU176"/>
      <c r="QV176"/>
      <c r="QW176"/>
      <c r="QX176"/>
      <c r="QY176"/>
      <c r="QZ176"/>
      <c r="RA176"/>
      <c r="RB176"/>
      <c r="RC176"/>
      <c r="RD176"/>
      <c r="RE176"/>
      <c r="RF176"/>
      <c r="RG176"/>
      <c r="RH176"/>
      <c r="RI176"/>
      <c r="RJ176"/>
      <c r="RK176"/>
      <c r="RL176"/>
      <c r="RM176"/>
      <c r="RN176"/>
      <c r="RO176"/>
      <c r="RP176"/>
      <c r="RQ176"/>
      <c r="RR176"/>
      <c r="RS176"/>
      <c r="RT176"/>
      <c r="RU176"/>
      <c r="RV176"/>
      <c r="RW176"/>
      <c r="RX176"/>
      <c r="RY176"/>
      <c r="RZ176"/>
      <c r="SA176"/>
      <c r="SB176"/>
      <c r="SC176"/>
      <c r="SD176"/>
      <c r="SE176"/>
      <c r="SF176"/>
      <c r="SG176"/>
      <c r="SH176"/>
      <c r="SI176"/>
      <c r="SJ176"/>
      <c r="SK176"/>
      <c r="SL176"/>
      <c r="SM176"/>
      <c r="SN176"/>
      <c r="SO176"/>
      <c r="SP176"/>
      <c r="SQ176"/>
      <c r="SR176"/>
      <c r="SS176"/>
      <c r="ST176"/>
      <c r="SU176"/>
      <c r="SV176"/>
      <c r="SW176"/>
      <c r="SX176"/>
      <c r="SY176"/>
      <c r="SZ176"/>
      <c r="TA176"/>
      <c r="TB176"/>
      <c r="TC176"/>
      <c r="TD176"/>
      <c r="TE176"/>
      <c r="TF176"/>
      <c r="TG176"/>
      <c r="TH176"/>
      <c r="TI176"/>
      <c r="TJ176"/>
      <c r="TK176"/>
      <c r="TL176"/>
      <c r="TM176"/>
      <c r="TN176"/>
      <c r="TO176"/>
      <c r="TP176"/>
      <c r="TQ176"/>
      <c r="TR176"/>
      <c r="TS176"/>
      <c r="TT176"/>
      <c r="TU176"/>
      <c r="TV176"/>
      <c r="TW176"/>
      <c r="TX176"/>
      <c r="TY176"/>
      <c r="TZ176"/>
      <c r="UA176"/>
      <c r="UB176"/>
      <c r="UC176"/>
      <c r="UD176"/>
      <c r="UE176"/>
      <c r="UF176"/>
      <c r="UG176"/>
      <c r="UH176"/>
      <c r="UI176"/>
      <c r="UJ176"/>
      <c r="UK176"/>
      <c r="UL176"/>
      <c r="UM176"/>
      <c r="UN176"/>
      <c r="UO176"/>
      <c r="UP176"/>
      <c r="UQ176"/>
      <c r="UR176"/>
      <c r="US176"/>
      <c r="UT176"/>
      <c r="UU176"/>
      <c r="UV176"/>
      <c r="UW176"/>
      <c r="UX176"/>
      <c r="UY176"/>
      <c r="UZ176"/>
      <c r="VA176"/>
      <c r="VB176"/>
      <c r="VC176"/>
      <c r="VD176"/>
      <c r="VE176"/>
      <c r="VF176"/>
      <c r="VG176"/>
    </row>
    <row r="177" spans="1:579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/>
      <c r="NL177"/>
      <c r="NM177"/>
      <c r="NN177"/>
      <c r="NO177"/>
      <c r="NP177"/>
      <c r="NQ177"/>
      <c r="NR177"/>
      <c r="NS177"/>
      <c r="NT177"/>
      <c r="NU177"/>
      <c r="NV177"/>
      <c r="NW177"/>
      <c r="NX177"/>
      <c r="NY177"/>
      <c r="NZ177"/>
      <c r="OA177"/>
      <c r="OB177"/>
      <c r="OC177"/>
      <c r="OD177"/>
      <c r="OE177"/>
      <c r="OF177"/>
      <c r="OG177"/>
      <c r="OH177"/>
      <c r="OI177"/>
      <c r="OJ177"/>
      <c r="OK177"/>
      <c r="OL177"/>
      <c r="OM177"/>
      <c r="ON177"/>
      <c r="OO177"/>
      <c r="OP177"/>
      <c r="OQ177"/>
      <c r="OR177"/>
      <c r="OS177"/>
      <c r="OT177"/>
      <c r="OU177"/>
      <c r="OV177"/>
      <c r="OW177"/>
      <c r="OX177"/>
      <c r="OY177"/>
      <c r="OZ177"/>
      <c r="PA177"/>
      <c r="PB177"/>
      <c r="PC177"/>
      <c r="PD177"/>
      <c r="PE177"/>
      <c r="PF177"/>
      <c r="PG177"/>
      <c r="PH177"/>
      <c r="PI177"/>
      <c r="PJ177"/>
      <c r="PK177"/>
      <c r="PL177"/>
      <c r="PM177"/>
      <c r="PN177"/>
      <c r="PO177"/>
      <c r="PP177"/>
      <c r="PQ177"/>
      <c r="PR177"/>
      <c r="PS177"/>
      <c r="PT177"/>
      <c r="PU177"/>
      <c r="PV177"/>
      <c r="PW177"/>
      <c r="PX177"/>
      <c r="PY177"/>
      <c r="PZ177"/>
      <c r="QA177"/>
      <c r="QB177"/>
      <c r="QC177"/>
      <c r="QD177"/>
      <c r="QE177"/>
      <c r="QF177"/>
      <c r="QG177"/>
      <c r="QH177"/>
      <c r="QI177"/>
      <c r="QJ177"/>
      <c r="QK177"/>
      <c r="QL177"/>
      <c r="QM177"/>
      <c r="QN177"/>
      <c r="QO177"/>
      <c r="QP177"/>
      <c r="QQ177"/>
      <c r="QR177"/>
      <c r="QS177"/>
      <c r="QT177"/>
      <c r="QU177"/>
      <c r="QV177"/>
      <c r="QW177"/>
      <c r="QX177"/>
      <c r="QY177"/>
      <c r="QZ177"/>
      <c r="RA177"/>
      <c r="RB177"/>
      <c r="RC177"/>
      <c r="RD177"/>
      <c r="RE177"/>
      <c r="RF177"/>
      <c r="RG177"/>
      <c r="RH177"/>
      <c r="RI177"/>
      <c r="RJ177"/>
      <c r="RK177"/>
      <c r="RL177"/>
      <c r="RM177"/>
      <c r="RN177"/>
      <c r="RO177"/>
      <c r="RP177"/>
      <c r="RQ177"/>
      <c r="RR177"/>
      <c r="RS177"/>
      <c r="RT177"/>
      <c r="RU177"/>
      <c r="RV177"/>
      <c r="RW177"/>
      <c r="RX177"/>
      <c r="RY177"/>
      <c r="RZ177"/>
      <c r="SA177"/>
      <c r="SB177"/>
      <c r="SC177"/>
      <c r="SD177"/>
      <c r="SE177"/>
      <c r="SF177"/>
      <c r="SG177"/>
      <c r="SH177"/>
      <c r="SI177"/>
      <c r="SJ177"/>
      <c r="SK177"/>
      <c r="SL177"/>
      <c r="SM177"/>
      <c r="SN177"/>
      <c r="SO177"/>
      <c r="SP177"/>
      <c r="SQ177"/>
      <c r="SR177"/>
      <c r="SS177"/>
      <c r="ST177"/>
      <c r="SU177"/>
      <c r="SV177"/>
      <c r="SW177"/>
      <c r="SX177"/>
      <c r="SY177"/>
      <c r="SZ177"/>
      <c r="TA177"/>
      <c r="TB177"/>
      <c r="TC177"/>
      <c r="TD177"/>
      <c r="TE177"/>
      <c r="TF177"/>
      <c r="TG177"/>
      <c r="TH177"/>
      <c r="TI177"/>
      <c r="TJ177"/>
      <c r="TK177"/>
      <c r="TL177"/>
      <c r="TM177"/>
      <c r="TN177"/>
      <c r="TO177"/>
      <c r="TP177"/>
      <c r="TQ177"/>
      <c r="TR177"/>
      <c r="TS177"/>
      <c r="TT177"/>
      <c r="TU177"/>
      <c r="TV177"/>
      <c r="TW177"/>
      <c r="TX177"/>
      <c r="TY177"/>
      <c r="TZ177"/>
      <c r="UA177"/>
      <c r="UB177"/>
      <c r="UC177"/>
      <c r="UD177"/>
      <c r="UE177"/>
      <c r="UF177"/>
      <c r="UG177"/>
      <c r="UH177"/>
      <c r="UI177"/>
      <c r="UJ177"/>
      <c r="UK177"/>
      <c r="UL177"/>
      <c r="UM177"/>
      <c r="UN177"/>
      <c r="UO177"/>
      <c r="UP177"/>
      <c r="UQ177"/>
      <c r="UR177"/>
      <c r="US177"/>
      <c r="UT177"/>
      <c r="UU177"/>
      <c r="UV177"/>
      <c r="UW177"/>
      <c r="UX177"/>
      <c r="UY177"/>
      <c r="UZ177"/>
      <c r="VA177"/>
      <c r="VB177"/>
      <c r="VC177"/>
      <c r="VD177"/>
      <c r="VE177"/>
      <c r="VF177"/>
      <c r="VG177"/>
    </row>
    <row r="178" spans="1:579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/>
      <c r="NL178"/>
      <c r="NM178"/>
      <c r="NN178"/>
      <c r="NO178"/>
      <c r="NP178"/>
      <c r="NQ178"/>
      <c r="NR178"/>
      <c r="NS178"/>
      <c r="NT178"/>
      <c r="NU178"/>
      <c r="NV178"/>
      <c r="NW178"/>
      <c r="NX178"/>
      <c r="NY178"/>
      <c r="NZ178"/>
      <c r="OA178"/>
      <c r="OB178"/>
      <c r="OC178"/>
      <c r="OD178"/>
      <c r="OE178"/>
      <c r="OF178"/>
      <c r="OG178"/>
      <c r="OH178"/>
      <c r="OI178"/>
      <c r="OJ178"/>
      <c r="OK178"/>
      <c r="OL178"/>
      <c r="OM178"/>
      <c r="ON178"/>
      <c r="OO178"/>
      <c r="OP178"/>
      <c r="OQ178"/>
      <c r="OR178"/>
      <c r="OS178"/>
      <c r="OT178"/>
      <c r="OU178"/>
      <c r="OV178"/>
      <c r="OW178"/>
      <c r="OX178"/>
      <c r="OY178"/>
      <c r="OZ178"/>
      <c r="PA178"/>
      <c r="PB178"/>
      <c r="PC178"/>
      <c r="PD178"/>
      <c r="PE178"/>
      <c r="PF178"/>
      <c r="PG178"/>
      <c r="PH178"/>
      <c r="PI178"/>
      <c r="PJ178"/>
      <c r="PK178"/>
      <c r="PL178"/>
      <c r="PM178"/>
      <c r="PN178"/>
      <c r="PO178"/>
      <c r="PP178"/>
      <c r="PQ178"/>
      <c r="PR178"/>
      <c r="PS178"/>
      <c r="PT178"/>
      <c r="PU178"/>
      <c r="PV178"/>
      <c r="PW178"/>
      <c r="PX178"/>
      <c r="PY178"/>
      <c r="PZ178"/>
      <c r="QA178"/>
      <c r="QB178"/>
      <c r="QC178"/>
      <c r="QD178"/>
      <c r="QE178"/>
      <c r="QF178"/>
      <c r="QG178"/>
      <c r="QH178"/>
      <c r="QI178"/>
      <c r="QJ178"/>
      <c r="QK178"/>
      <c r="QL178"/>
      <c r="QM178"/>
      <c r="QN178"/>
      <c r="QO178"/>
      <c r="QP178"/>
      <c r="QQ178"/>
      <c r="QR178"/>
      <c r="QS178"/>
      <c r="QT178"/>
      <c r="QU178"/>
      <c r="QV178"/>
      <c r="QW178"/>
      <c r="QX178"/>
      <c r="QY178"/>
      <c r="QZ178"/>
      <c r="RA178"/>
      <c r="RB178"/>
      <c r="RC178"/>
      <c r="RD178"/>
      <c r="RE178"/>
      <c r="RF178"/>
      <c r="RG178"/>
      <c r="RH178"/>
      <c r="RI178"/>
      <c r="RJ178"/>
      <c r="RK178"/>
      <c r="RL178"/>
      <c r="RM178"/>
      <c r="RN178"/>
      <c r="RO178"/>
      <c r="RP178"/>
      <c r="RQ178"/>
      <c r="RR178"/>
      <c r="RS178"/>
      <c r="RT178"/>
      <c r="RU178"/>
      <c r="RV178"/>
      <c r="RW178"/>
      <c r="RX178"/>
      <c r="RY178"/>
      <c r="RZ178"/>
      <c r="SA178"/>
      <c r="SB178"/>
      <c r="SC178"/>
      <c r="SD178"/>
      <c r="SE178"/>
      <c r="SF178"/>
      <c r="SG178"/>
      <c r="SH178"/>
      <c r="SI178"/>
      <c r="SJ178"/>
      <c r="SK178"/>
      <c r="SL178"/>
      <c r="SM178"/>
      <c r="SN178"/>
      <c r="SO178"/>
      <c r="SP178"/>
      <c r="SQ178"/>
      <c r="SR178"/>
      <c r="SS178"/>
      <c r="ST178"/>
      <c r="SU178"/>
      <c r="SV178"/>
      <c r="SW178"/>
      <c r="SX178"/>
      <c r="SY178"/>
      <c r="SZ178"/>
      <c r="TA178"/>
      <c r="TB178"/>
      <c r="TC178"/>
      <c r="TD178"/>
      <c r="TE178"/>
      <c r="TF178"/>
      <c r="TG178"/>
      <c r="TH178"/>
      <c r="TI178"/>
      <c r="TJ178"/>
      <c r="TK178"/>
      <c r="TL178"/>
      <c r="TM178"/>
      <c r="TN178"/>
      <c r="TO178"/>
      <c r="TP178"/>
      <c r="TQ178"/>
      <c r="TR178"/>
      <c r="TS178"/>
      <c r="TT178"/>
      <c r="TU178"/>
      <c r="TV178"/>
      <c r="TW178"/>
      <c r="TX178"/>
      <c r="TY178"/>
      <c r="TZ178"/>
      <c r="UA178"/>
      <c r="UB178"/>
      <c r="UC178"/>
      <c r="UD178"/>
      <c r="UE178"/>
      <c r="UF178"/>
      <c r="UG178"/>
      <c r="UH178"/>
      <c r="UI178"/>
      <c r="UJ178"/>
      <c r="UK178"/>
      <c r="UL178"/>
      <c r="UM178"/>
      <c r="UN178"/>
      <c r="UO178"/>
      <c r="UP178"/>
      <c r="UQ178"/>
      <c r="UR178"/>
      <c r="US178"/>
      <c r="UT178"/>
      <c r="UU178"/>
      <c r="UV178"/>
      <c r="UW178"/>
      <c r="UX178"/>
      <c r="UY178"/>
      <c r="UZ178"/>
      <c r="VA178"/>
      <c r="VB178"/>
      <c r="VC178"/>
      <c r="VD178"/>
      <c r="VE178"/>
      <c r="VF178"/>
      <c r="VG178"/>
    </row>
    <row r="179" spans="1:579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/>
      <c r="NL179"/>
      <c r="NM179"/>
      <c r="NN179"/>
      <c r="NO179"/>
      <c r="NP179"/>
      <c r="NQ179"/>
      <c r="NR179"/>
      <c r="NS179"/>
      <c r="NT179"/>
      <c r="NU179"/>
      <c r="NV179"/>
      <c r="NW179"/>
      <c r="NX179"/>
      <c r="NY179"/>
      <c r="NZ179"/>
      <c r="OA179"/>
      <c r="OB179"/>
      <c r="OC179"/>
      <c r="OD179"/>
      <c r="OE179"/>
      <c r="OF179"/>
      <c r="OG179"/>
      <c r="OH179"/>
      <c r="OI179"/>
      <c r="OJ179"/>
      <c r="OK179"/>
      <c r="OL179"/>
      <c r="OM179"/>
      <c r="ON179"/>
      <c r="OO179"/>
      <c r="OP179"/>
      <c r="OQ179"/>
      <c r="OR179"/>
      <c r="OS179"/>
      <c r="OT179"/>
      <c r="OU179"/>
      <c r="OV179"/>
      <c r="OW179"/>
      <c r="OX179"/>
      <c r="OY179"/>
      <c r="OZ179"/>
      <c r="PA179"/>
      <c r="PB179"/>
      <c r="PC179"/>
      <c r="PD179"/>
      <c r="PE179"/>
      <c r="PF179"/>
      <c r="PG179"/>
      <c r="PH179"/>
      <c r="PI179"/>
      <c r="PJ179"/>
      <c r="PK179"/>
      <c r="PL179"/>
      <c r="PM179"/>
      <c r="PN179"/>
      <c r="PO179"/>
      <c r="PP179"/>
      <c r="PQ179"/>
      <c r="PR179"/>
      <c r="PS179"/>
      <c r="PT179"/>
      <c r="PU179"/>
      <c r="PV179"/>
      <c r="PW179"/>
      <c r="PX179"/>
      <c r="PY179"/>
      <c r="PZ179"/>
      <c r="QA179"/>
      <c r="QB179"/>
      <c r="QC179"/>
      <c r="QD179"/>
      <c r="QE179"/>
      <c r="QF179"/>
      <c r="QG179"/>
      <c r="QH179"/>
      <c r="QI179"/>
      <c r="QJ179"/>
      <c r="QK179"/>
      <c r="QL179"/>
      <c r="QM179"/>
      <c r="QN179"/>
      <c r="QO179"/>
      <c r="QP179"/>
      <c r="QQ179"/>
      <c r="QR179"/>
      <c r="QS179"/>
      <c r="QT179"/>
      <c r="QU179"/>
      <c r="QV179"/>
      <c r="QW179"/>
      <c r="QX179"/>
      <c r="QY179"/>
      <c r="QZ179"/>
      <c r="RA179"/>
      <c r="RB179"/>
      <c r="RC179"/>
      <c r="RD179"/>
      <c r="RE179"/>
      <c r="RF179"/>
      <c r="RG179"/>
      <c r="RH179"/>
      <c r="RI179"/>
      <c r="RJ179"/>
      <c r="RK179"/>
      <c r="RL179"/>
      <c r="RM179"/>
      <c r="RN179"/>
      <c r="RO179"/>
      <c r="RP179"/>
      <c r="RQ179"/>
      <c r="RR179"/>
      <c r="RS179"/>
      <c r="RT179"/>
      <c r="RU179"/>
      <c r="RV179"/>
      <c r="RW179"/>
      <c r="RX179"/>
      <c r="RY179"/>
      <c r="RZ179"/>
      <c r="SA179"/>
      <c r="SB179"/>
      <c r="SC179"/>
      <c r="SD179"/>
      <c r="SE179"/>
      <c r="SF179"/>
      <c r="SG179"/>
      <c r="SH179"/>
      <c r="SI179"/>
      <c r="SJ179"/>
      <c r="SK179"/>
      <c r="SL179"/>
      <c r="SM179"/>
      <c r="SN179"/>
      <c r="SO179"/>
      <c r="SP179"/>
      <c r="SQ179"/>
      <c r="SR179"/>
      <c r="SS179"/>
      <c r="ST179"/>
      <c r="SU179"/>
      <c r="SV179"/>
      <c r="SW179"/>
      <c r="SX179"/>
      <c r="SY179"/>
      <c r="SZ179"/>
      <c r="TA179"/>
      <c r="TB179"/>
      <c r="TC179"/>
      <c r="TD179"/>
      <c r="TE179"/>
      <c r="TF179"/>
      <c r="TG179"/>
      <c r="TH179"/>
      <c r="TI179"/>
      <c r="TJ179"/>
      <c r="TK179"/>
      <c r="TL179"/>
      <c r="TM179"/>
      <c r="TN179"/>
      <c r="TO179"/>
      <c r="TP179"/>
      <c r="TQ179"/>
      <c r="TR179"/>
      <c r="TS179"/>
      <c r="TT179"/>
      <c r="TU179"/>
      <c r="TV179"/>
      <c r="TW179"/>
      <c r="TX179"/>
      <c r="TY179"/>
      <c r="TZ179"/>
      <c r="UA179"/>
      <c r="UB179"/>
      <c r="UC179"/>
      <c r="UD179"/>
      <c r="UE179"/>
      <c r="UF179"/>
      <c r="UG179"/>
      <c r="UH179"/>
      <c r="UI179"/>
      <c r="UJ179"/>
      <c r="UK179"/>
      <c r="UL179"/>
      <c r="UM179"/>
      <c r="UN179"/>
      <c r="UO179"/>
      <c r="UP179"/>
      <c r="UQ179"/>
      <c r="UR179"/>
      <c r="US179"/>
      <c r="UT179"/>
      <c r="UU179"/>
      <c r="UV179"/>
      <c r="UW179"/>
      <c r="UX179"/>
      <c r="UY179"/>
      <c r="UZ179"/>
      <c r="VA179"/>
      <c r="VB179"/>
      <c r="VC179"/>
      <c r="VD179"/>
      <c r="VE179"/>
      <c r="VF179"/>
      <c r="VG179"/>
    </row>
    <row r="180" spans="1:579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/>
      <c r="NL180"/>
      <c r="NM180"/>
      <c r="NN180"/>
      <c r="NO180"/>
      <c r="NP180"/>
      <c r="NQ180"/>
      <c r="NR180"/>
      <c r="NS180"/>
      <c r="NT180"/>
      <c r="NU180"/>
      <c r="NV180"/>
      <c r="NW180"/>
      <c r="NX180"/>
      <c r="NY180"/>
      <c r="NZ180"/>
      <c r="OA180"/>
      <c r="OB180"/>
      <c r="OC180"/>
      <c r="OD180"/>
      <c r="OE180"/>
      <c r="OF180"/>
      <c r="OG180"/>
      <c r="OH180"/>
      <c r="OI180"/>
      <c r="OJ180"/>
      <c r="OK180"/>
      <c r="OL180"/>
      <c r="OM180"/>
      <c r="ON180"/>
      <c r="OO180"/>
      <c r="OP180"/>
      <c r="OQ180"/>
      <c r="OR180"/>
      <c r="OS180"/>
      <c r="OT180"/>
      <c r="OU180"/>
      <c r="OV180"/>
      <c r="OW180"/>
      <c r="OX180"/>
      <c r="OY180"/>
      <c r="OZ180"/>
      <c r="PA180"/>
      <c r="PB180"/>
      <c r="PC180"/>
      <c r="PD180"/>
      <c r="PE180"/>
      <c r="PF180"/>
      <c r="PG180"/>
      <c r="PH180"/>
      <c r="PI180"/>
      <c r="PJ180"/>
      <c r="PK180"/>
      <c r="PL180"/>
      <c r="PM180"/>
      <c r="PN180"/>
      <c r="PO180"/>
      <c r="PP180"/>
      <c r="PQ180"/>
      <c r="PR180"/>
      <c r="PS180"/>
      <c r="PT180"/>
      <c r="PU180"/>
      <c r="PV180"/>
      <c r="PW180"/>
      <c r="PX180"/>
      <c r="PY180"/>
      <c r="PZ180"/>
      <c r="QA180"/>
      <c r="QB180"/>
      <c r="QC180"/>
      <c r="QD180"/>
      <c r="QE180"/>
      <c r="QF180"/>
      <c r="QG180"/>
      <c r="QH180"/>
      <c r="QI180"/>
      <c r="QJ180"/>
      <c r="QK180"/>
      <c r="QL180"/>
      <c r="QM180"/>
      <c r="QN180"/>
      <c r="QO180"/>
      <c r="QP180"/>
      <c r="QQ180"/>
      <c r="QR180"/>
      <c r="QS180"/>
      <c r="QT180"/>
      <c r="QU180"/>
      <c r="QV180"/>
      <c r="QW180"/>
      <c r="QX180"/>
      <c r="QY180"/>
      <c r="QZ180"/>
      <c r="RA180"/>
      <c r="RB180"/>
      <c r="RC180"/>
      <c r="RD180"/>
      <c r="RE180"/>
      <c r="RF180"/>
      <c r="RG180"/>
      <c r="RH180"/>
      <c r="RI180"/>
      <c r="RJ180"/>
      <c r="RK180"/>
      <c r="RL180"/>
      <c r="RM180"/>
      <c r="RN180"/>
      <c r="RO180"/>
      <c r="RP180"/>
      <c r="RQ180"/>
      <c r="RR180"/>
      <c r="RS180"/>
      <c r="RT180"/>
      <c r="RU180"/>
      <c r="RV180"/>
      <c r="RW180"/>
      <c r="RX180"/>
      <c r="RY180"/>
      <c r="RZ180"/>
      <c r="SA180"/>
      <c r="SB180"/>
      <c r="SC180"/>
      <c r="SD180"/>
      <c r="SE180"/>
      <c r="SF180"/>
      <c r="SG180"/>
      <c r="SH180"/>
      <c r="SI180"/>
      <c r="SJ180"/>
      <c r="SK180"/>
      <c r="SL180"/>
      <c r="SM180"/>
      <c r="SN180"/>
      <c r="SO180"/>
      <c r="SP180"/>
      <c r="SQ180"/>
      <c r="SR180"/>
      <c r="SS180"/>
      <c r="ST180"/>
      <c r="SU180"/>
      <c r="SV180"/>
      <c r="SW180"/>
      <c r="SX180"/>
      <c r="SY180"/>
      <c r="SZ180"/>
      <c r="TA180"/>
      <c r="TB180"/>
      <c r="TC180"/>
      <c r="TD180"/>
      <c r="TE180"/>
      <c r="TF180"/>
      <c r="TG180"/>
      <c r="TH180"/>
      <c r="TI180"/>
      <c r="TJ180"/>
      <c r="TK180"/>
      <c r="TL180"/>
      <c r="TM180"/>
      <c r="TN180"/>
      <c r="TO180"/>
      <c r="TP180"/>
      <c r="TQ180"/>
      <c r="TR180"/>
      <c r="TS180"/>
      <c r="TT180"/>
      <c r="TU180"/>
      <c r="TV180"/>
      <c r="TW180"/>
      <c r="TX180"/>
      <c r="TY180"/>
      <c r="TZ180"/>
      <c r="UA180"/>
      <c r="UB180"/>
      <c r="UC180"/>
      <c r="UD180"/>
      <c r="UE180"/>
      <c r="UF180"/>
      <c r="UG180"/>
      <c r="UH180"/>
      <c r="UI180"/>
      <c r="UJ180"/>
      <c r="UK180"/>
      <c r="UL180"/>
      <c r="UM180"/>
      <c r="UN180"/>
      <c r="UO180"/>
      <c r="UP180"/>
      <c r="UQ180"/>
      <c r="UR180"/>
      <c r="US180"/>
      <c r="UT180"/>
      <c r="UU180"/>
      <c r="UV180"/>
      <c r="UW180"/>
      <c r="UX180"/>
      <c r="UY180"/>
      <c r="UZ180"/>
      <c r="VA180"/>
      <c r="VB180"/>
      <c r="VC180"/>
      <c r="VD180"/>
      <c r="VE180"/>
      <c r="VF180"/>
      <c r="VG180"/>
    </row>
    <row r="181" spans="1:579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/>
      <c r="NL181"/>
      <c r="NM181"/>
      <c r="NN181"/>
      <c r="NO181"/>
      <c r="NP181"/>
      <c r="NQ181"/>
      <c r="NR181"/>
      <c r="NS181"/>
      <c r="NT181"/>
      <c r="NU181"/>
      <c r="NV181"/>
      <c r="NW181"/>
      <c r="NX181"/>
      <c r="NY181"/>
      <c r="NZ181"/>
      <c r="OA181"/>
      <c r="OB181"/>
      <c r="OC181"/>
      <c r="OD181"/>
      <c r="OE181"/>
      <c r="OF181"/>
      <c r="OG181"/>
      <c r="OH181"/>
      <c r="OI181"/>
      <c r="OJ181"/>
      <c r="OK181"/>
      <c r="OL181"/>
      <c r="OM181"/>
      <c r="ON181"/>
      <c r="OO181"/>
      <c r="OP181"/>
      <c r="OQ181"/>
      <c r="OR181"/>
      <c r="OS181"/>
      <c r="OT181"/>
      <c r="OU181"/>
      <c r="OV181"/>
      <c r="OW181"/>
      <c r="OX181"/>
      <c r="OY181"/>
      <c r="OZ181"/>
      <c r="PA181"/>
      <c r="PB181"/>
      <c r="PC181"/>
      <c r="PD181"/>
      <c r="PE181"/>
      <c r="PF181"/>
      <c r="PG181"/>
      <c r="PH181"/>
      <c r="PI181"/>
      <c r="PJ181"/>
      <c r="PK181"/>
      <c r="PL181"/>
      <c r="PM181"/>
      <c r="PN181"/>
      <c r="PO181"/>
      <c r="PP181"/>
      <c r="PQ181"/>
      <c r="PR181"/>
      <c r="PS181"/>
      <c r="PT181"/>
      <c r="PU181"/>
      <c r="PV181"/>
      <c r="PW181"/>
      <c r="PX181"/>
      <c r="PY181"/>
      <c r="PZ181"/>
      <c r="QA181"/>
      <c r="QB181"/>
      <c r="QC181"/>
      <c r="QD181"/>
      <c r="QE181"/>
      <c r="QF181"/>
      <c r="QG181"/>
      <c r="QH181"/>
      <c r="QI181"/>
      <c r="QJ181"/>
      <c r="QK181"/>
      <c r="QL181"/>
      <c r="QM181"/>
      <c r="QN181"/>
      <c r="QO181"/>
      <c r="QP181"/>
      <c r="QQ181"/>
      <c r="QR181"/>
      <c r="QS181"/>
      <c r="QT181"/>
      <c r="QU181"/>
      <c r="QV181"/>
      <c r="QW181"/>
      <c r="QX181"/>
      <c r="QY181"/>
      <c r="QZ181"/>
      <c r="RA181"/>
      <c r="RB181"/>
      <c r="RC181"/>
      <c r="RD181"/>
      <c r="RE181"/>
      <c r="RF181"/>
      <c r="RG181"/>
      <c r="RH181"/>
      <c r="RI181"/>
      <c r="RJ181"/>
      <c r="RK181"/>
      <c r="RL181"/>
      <c r="RM181"/>
      <c r="RN181"/>
      <c r="RO181"/>
      <c r="RP181"/>
      <c r="RQ181"/>
      <c r="RR181"/>
      <c r="RS181"/>
      <c r="RT181"/>
      <c r="RU181"/>
      <c r="RV181"/>
      <c r="RW181"/>
      <c r="RX181"/>
      <c r="RY181"/>
      <c r="RZ181"/>
      <c r="SA181"/>
      <c r="SB181"/>
      <c r="SC181"/>
      <c r="SD181"/>
      <c r="SE181"/>
      <c r="SF181"/>
      <c r="SG181"/>
      <c r="SH181"/>
      <c r="SI181"/>
      <c r="SJ181"/>
      <c r="SK181"/>
      <c r="SL181"/>
      <c r="SM181"/>
      <c r="SN181"/>
      <c r="SO181"/>
      <c r="SP181"/>
      <c r="SQ181"/>
      <c r="SR181"/>
      <c r="SS181"/>
      <c r="ST181"/>
      <c r="SU181"/>
      <c r="SV181"/>
      <c r="SW181"/>
      <c r="SX181"/>
      <c r="SY181"/>
      <c r="SZ181"/>
      <c r="TA181"/>
      <c r="TB181"/>
      <c r="TC181"/>
      <c r="TD181"/>
      <c r="TE181"/>
      <c r="TF181"/>
      <c r="TG181"/>
      <c r="TH181"/>
      <c r="TI181"/>
      <c r="TJ181"/>
      <c r="TK181"/>
      <c r="TL181"/>
      <c r="TM181"/>
      <c r="TN181"/>
      <c r="TO181"/>
      <c r="TP181"/>
      <c r="TQ181"/>
      <c r="TR181"/>
      <c r="TS181"/>
      <c r="TT181"/>
      <c r="TU181"/>
      <c r="TV181"/>
      <c r="TW181"/>
      <c r="TX181"/>
      <c r="TY181"/>
      <c r="TZ181"/>
      <c r="UA181"/>
      <c r="UB181"/>
      <c r="UC181"/>
      <c r="UD181"/>
      <c r="UE181"/>
      <c r="UF181"/>
      <c r="UG181"/>
      <c r="UH181"/>
      <c r="UI181"/>
      <c r="UJ181"/>
      <c r="UK181"/>
      <c r="UL181"/>
      <c r="UM181"/>
      <c r="UN181"/>
      <c r="UO181"/>
      <c r="UP181"/>
      <c r="UQ181"/>
      <c r="UR181"/>
      <c r="US181"/>
      <c r="UT181"/>
      <c r="UU181"/>
      <c r="UV181"/>
      <c r="UW181"/>
      <c r="UX181"/>
      <c r="UY181"/>
      <c r="UZ181"/>
      <c r="VA181"/>
      <c r="VB181"/>
      <c r="VC181"/>
      <c r="VD181"/>
      <c r="VE181"/>
      <c r="VF181"/>
      <c r="VG181"/>
    </row>
    <row r="182" spans="1:579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/>
      <c r="NO182"/>
      <c r="NP182"/>
      <c r="NQ182"/>
      <c r="NR182"/>
      <c r="NS182"/>
      <c r="NT182"/>
      <c r="NU182"/>
      <c r="NV182"/>
      <c r="NW182"/>
      <c r="NX182"/>
      <c r="NY182"/>
      <c r="NZ182"/>
      <c r="OA182"/>
      <c r="OB182"/>
      <c r="OC182"/>
      <c r="OD182"/>
      <c r="OE182"/>
      <c r="OF182"/>
      <c r="OG182"/>
      <c r="OH182"/>
      <c r="OI182"/>
      <c r="OJ182"/>
      <c r="OK182"/>
      <c r="OL182"/>
      <c r="OM182"/>
      <c r="ON182"/>
      <c r="OO182"/>
      <c r="OP182"/>
      <c r="OQ182"/>
      <c r="OR182"/>
      <c r="OS182"/>
      <c r="OT182"/>
      <c r="OU182"/>
      <c r="OV182"/>
      <c r="OW182"/>
      <c r="OX182"/>
      <c r="OY182"/>
      <c r="OZ182"/>
      <c r="PA182"/>
      <c r="PB182"/>
      <c r="PC182"/>
      <c r="PD182"/>
      <c r="PE182"/>
      <c r="PF182"/>
      <c r="PG182"/>
      <c r="PH182"/>
      <c r="PI182"/>
      <c r="PJ182"/>
      <c r="PK182"/>
      <c r="PL182"/>
      <c r="PM182"/>
      <c r="PN182"/>
      <c r="PO182"/>
      <c r="PP182"/>
      <c r="PQ182"/>
      <c r="PR182"/>
      <c r="PS182"/>
      <c r="PT182"/>
      <c r="PU182"/>
      <c r="PV182"/>
      <c r="PW182"/>
      <c r="PX182"/>
      <c r="PY182"/>
      <c r="PZ182"/>
      <c r="QA182"/>
      <c r="QB182"/>
      <c r="QC182"/>
      <c r="QD182"/>
      <c r="QE182"/>
      <c r="QF182"/>
      <c r="QG182"/>
      <c r="QH182"/>
      <c r="QI182"/>
      <c r="QJ182"/>
      <c r="QK182"/>
      <c r="QL182"/>
      <c r="QM182"/>
      <c r="QN182"/>
      <c r="QO182"/>
      <c r="QP182"/>
      <c r="QQ182"/>
      <c r="QR182"/>
      <c r="QS182"/>
      <c r="QT182"/>
      <c r="QU182"/>
      <c r="QV182"/>
      <c r="QW182"/>
      <c r="QX182"/>
      <c r="QY182"/>
      <c r="QZ182"/>
      <c r="RA182"/>
      <c r="RB182"/>
      <c r="RC182"/>
      <c r="RD182"/>
      <c r="RE182"/>
      <c r="RF182"/>
      <c r="RG182"/>
      <c r="RH182"/>
      <c r="RI182"/>
      <c r="RJ182"/>
      <c r="RK182"/>
      <c r="RL182"/>
      <c r="RM182"/>
      <c r="RN182"/>
      <c r="RO182"/>
      <c r="RP182"/>
      <c r="RQ182"/>
      <c r="RR182"/>
      <c r="RS182"/>
      <c r="RT182"/>
      <c r="RU182"/>
      <c r="RV182"/>
      <c r="RW182"/>
      <c r="RX182"/>
      <c r="RY182"/>
      <c r="RZ182"/>
      <c r="SA182"/>
      <c r="SB182"/>
      <c r="SC182"/>
      <c r="SD182"/>
      <c r="SE182"/>
      <c r="SF182"/>
      <c r="SG182"/>
      <c r="SH182"/>
      <c r="SI182"/>
      <c r="SJ182"/>
      <c r="SK182"/>
      <c r="SL182"/>
      <c r="SM182"/>
      <c r="SN182"/>
      <c r="SO182"/>
      <c r="SP182"/>
      <c r="SQ182"/>
      <c r="SR182"/>
      <c r="SS182"/>
      <c r="ST182"/>
      <c r="SU182"/>
      <c r="SV182"/>
      <c r="SW182"/>
      <c r="SX182"/>
      <c r="SY182"/>
      <c r="SZ182"/>
      <c r="TA182"/>
      <c r="TB182"/>
      <c r="TC182"/>
      <c r="TD182"/>
      <c r="TE182"/>
      <c r="TF182"/>
      <c r="TG182"/>
      <c r="TH182"/>
      <c r="TI182"/>
      <c r="TJ182"/>
      <c r="TK182"/>
      <c r="TL182"/>
      <c r="TM182"/>
      <c r="TN182"/>
      <c r="TO182"/>
      <c r="TP182"/>
      <c r="TQ182"/>
      <c r="TR182"/>
      <c r="TS182"/>
      <c r="TT182"/>
      <c r="TU182"/>
      <c r="TV182"/>
      <c r="TW182"/>
      <c r="TX182"/>
      <c r="TY182"/>
      <c r="TZ182"/>
      <c r="UA182"/>
      <c r="UB182"/>
      <c r="UC182"/>
      <c r="UD182"/>
      <c r="UE182"/>
      <c r="UF182"/>
      <c r="UG182"/>
      <c r="UH182"/>
      <c r="UI182"/>
      <c r="UJ182"/>
      <c r="UK182"/>
      <c r="UL182"/>
      <c r="UM182"/>
      <c r="UN182"/>
      <c r="UO182"/>
      <c r="UP182"/>
      <c r="UQ182"/>
      <c r="UR182"/>
      <c r="US182"/>
      <c r="UT182"/>
      <c r="UU182"/>
      <c r="UV182"/>
      <c r="UW182"/>
      <c r="UX182"/>
      <c r="UY182"/>
      <c r="UZ182"/>
      <c r="VA182"/>
      <c r="VB182"/>
      <c r="VC182"/>
      <c r="VD182"/>
      <c r="VE182"/>
      <c r="VF182"/>
      <c r="VG182"/>
    </row>
    <row r="183" spans="1:579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/>
      <c r="NL183"/>
      <c r="NM183"/>
      <c r="NN183"/>
      <c r="NO183"/>
      <c r="NP183"/>
      <c r="NQ183"/>
      <c r="NR183"/>
      <c r="NS183"/>
      <c r="NT183"/>
      <c r="NU183"/>
      <c r="NV183"/>
      <c r="NW183"/>
      <c r="NX183"/>
      <c r="NY183"/>
      <c r="NZ183"/>
      <c r="OA183"/>
      <c r="OB183"/>
      <c r="OC183"/>
      <c r="OD183"/>
      <c r="OE183"/>
      <c r="OF183"/>
      <c r="OG183"/>
      <c r="OH183"/>
      <c r="OI183"/>
      <c r="OJ183"/>
      <c r="OK183"/>
      <c r="OL183"/>
      <c r="OM183"/>
      <c r="ON183"/>
      <c r="OO183"/>
      <c r="OP183"/>
      <c r="OQ183"/>
      <c r="OR183"/>
      <c r="OS183"/>
      <c r="OT183"/>
      <c r="OU183"/>
      <c r="OV183"/>
      <c r="OW183"/>
      <c r="OX183"/>
      <c r="OY183"/>
      <c r="OZ183"/>
      <c r="PA183"/>
      <c r="PB183"/>
      <c r="PC183"/>
      <c r="PD183"/>
      <c r="PE183"/>
      <c r="PF183"/>
      <c r="PG183"/>
      <c r="PH183"/>
      <c r="PI183"/>
      <c r="PJ183"/>
      <c r="PK183"/>
      <c r="PL183"/>
      <c r="PM183"/>
      <c r="PN183"/>
      <c r="PO183"/>
      <c r="PP183"/>
      <c r="PQ183"/>
      <c r="PR183"/>
      <c r="PS183"/>
      <c r="PT183"/>
      <c r="PU183"/>
      <c r="PV183"/>
      <c r="PW183"/>
      <c r="PX183"/>
      <c r="PY183"/>
      <c r="PZ183"/>
      <c r="QA183"/>
      <c r="QB183"/>
      <c r="QC183"/>
      <c r="QD183"/>
      <c r="QE183"/>
      <c r="QF183"/>
      <c r="QG183"/>
      <c r="QH183"/>
      <c r="QI183"/>
      <c r="QJ183"/>
      <c r="QK183"/>
      <c r="QL183"/>
      <c r="QM183"/>
      <c r="QN183"/>
      <c r="QO183"/>
      <c r="QP183"/>
      <c r="QQ183"/>
      <c r="QR183"/>
      <c r="QS183"/>
      <c r="QT183"/>
      <c r="QU183"/>
      <c r="QV183"/>
      <c r="QW183"/>
      <c r="QX183"/>
      <c r="QY183"/>
      <c r="QZ183"/>
      <c r="RA183"/>
      <c r="RB183"/>
      <c r="RC183"/>
      <c r="RD183"/>
      <c r="RE183"/>
      <c r="RF183"/>
      <c r="RG183"/>
      <c r="RH183"/>
      <c r="RI183"/>
      <c r="RJ183"/>
      <c r="RK183"/>
      <c r="RL183"/>
      <c r="RM183"/>
      <c r="RN183"/>
      <c r="RO183"/>
      <c r="RP183"/>
      <c r="RQ183"/>
      <c r="RR183"/>
      <c r="RS183"/>
      <c r="RT183"/>
      <c r="RU183"/>
      <c r="RV183"/>
      <c r="RW183"/>
      <c r="RX183"/>
      <c r="RY183"/>
      <c r="RZ183"/>
      <c r="SA183"/>
      <c r="SB183"/>
      <c r="SC183"/>
      <c r="SD183"/>
      <c r="SE183"/>
      <c r="SF183"/>
      <c r="SG183"/>
      <c r="SH183"/>
      <c r="SI183"/>
      <c r="SJ183"/>
      <c r="SK183"/>
      <c r="SL183"/>
      <c r="SM183"/>
      <c r="SN183"/>
      <c r="SO183"/>
      <c r="SP183"/>
      <c r="SQ183"/>
      <c r="SR183"/>
      <c r="SS183"/>
      <c r="ST183"/>
      <c r="SU183"/>
      <c r="SV183"/>
      <c r="SW183"/>
      <c r="SX183"/>
      <c r="SY183"/>
      <c r="SZ183"/>
      <c r="TA183"/>
      <c r="TB183"/>
      <c r="TC183"/>
      <c r="TD183"/>
      <c r="TE183"/>
      <c r="TF183"/>
      <c r="TG183"/>
      <c r="TH183"/>
      <c r="TI183"/>
      <c r="TJ183"/>
      <c r="TK183"/>
      <c r="TL183"/>
      <c r="TM183"/>
      <c r="TN183"/>
      <c r="TO183"/>
      <c r="TP183"/>
      <c r="TQ183"/>
      <c r="TR183"/>
      <c r="TS183"/>
      <c r="TT183"/>
      <c r="TU183"/>
      <c r="TV183"/>
      <c r="TW183"/>
      <c r="TX183"/>
      <c r="TY183"/>
      <c r="TZ183"/>
      <c r="UA183"/>
      <c r="UB183"/>
      <c r="UC183"/>
      <c r="UD183"/>
      <c r="UE183"/>
      <c r="UF183"/>
      <c r="UG183"/>
      <c r="UH183"/>
      <c r="UI183"/>
      <c r="UJ183"/>
      <c r="UK183"/>
      <c r="UL183"/>
      <c r="UM183"/>
      <c r="UN183"/>
      <c r="UO183"/>
      <c r="UP183"/>
      <c r="UQ183"/>
      <c r="UR183"/>
      <c r="US183"/>
      <c r="UT183"/>
      <c r="UU183"/>
      <c r="UV183"/>
      <c r="UW183"/>
      <c r="UX183"/>
      <c r="UY183"/>
      <c r="UZ183"/>
      <c r="VA183"/>
      <c r="VB183"/>
      <c r="VC183"/>
      <c r="VD183"/>
      <c r="VE183"/>
      <c r="VF183"/>
      <c r="VG183"/>
    </row>
    <row r="184" spans="1:579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/>
      <c r="NO184"/>
      <c r="NP184"/>
      <c r="NQ184"/>
      <c r="NR184"/>
      <c r="NS184"/>
      <c r="NT184"/>
      <c r="NU184"/>
      <c r="NV184"/>
      <c r="NW184"/>
      <c r="NX184"/>
      <c r="NY184"/>
      <c r="NZ184"/>
      <c r="OA184"/>
      <c r="OB184"/>
      <c r="OC184"/>
      <c r="OD184"/>
      <c r="OE184"/>
      <c r="OF184"/>
      <c r="OG184"/>
      <c r="OH184"/>
      <c r="OI184"/>
      <c r="OJ184"/>
      <c r="OK184"/>
      <c r="OL184"/>
      <c r="OM184"/>
      <c r="ON184"/>
      <c r="OO184"/>
      <c r="OP184"/>
      <c r="OQ184"/>
      <c r="OR184"/>
      <c r="OS184"/>
      <c r="OT184"/>
      <c r="OU184"/>
      <c r="OV184"/>
      <c r="OW184"/>
      <c r="OX184"/>
      <c r="OY184"/>
      <c r="OZ184"/>
      <c r="PA184"/>
      <c r="PB184"/>
      <c r="PC184"/>
      <c r="PD184"/>
      <c r="PE184"/>
      <c r="PF184"/>
      <c r="PG184"/>
      <c r="PH184"/>
      <c r="PI184"/>
      <c r="PJ184"/>
      <c r="PK184"/>
      <c r="PL184"/>
      <c r="PM184"/>
      <c r="PN184"/>
      <c r="PO184"/>
      <c r="PP184"/>
      <c r="PQ184"/>
      <c r="PR184"/>
      <c r="PS184"/>
      <c r="PT184"/>
      <c r="PU184"/>
      <c r="PV184"/>
      <c r="PW184"/>
      <c r="PX184"/>
      <c r="PY184"/>
      <c r="PZ184"/>
      <c r="QA184"/>
      <c r="QB184"/>
      <c r="QC184"/>
      <c r="QD184"/>
      <c r="QE184"/>
      <c r="QF184"/>
      <c r="QG184"/>
      <c r="QH184"/>
      <c r="QI184"/>
      <c r="QJ184"/>
      <c r="QK184"/>
      <c r="QL184"/>
      <c r="QM184"/>
      <c r="QN184"/>
      <c r="QO184"/>
      <c r="QP184"/>
      <c r="QQ184"/>
      <c r="QR184"/>
      <c r="QS184"/>
      <c r="QT184"/>
      <c r="QU184"/>
      <c r="QV184"/>
      <c r="QW184"/>
      <c r="QX184"/>
      <c r="QY184"/>
      <c r="QZ184"/>
      <c r="RA184"/>
      <c r="RB184"/>
      <c r="RC184"/>
      <c r="RD184"/>
      <c r="RE184"/>
      <c r="RF184"/>
      <c r="RG184"/>
      <c r="RH184"/>
      <c r="RI184"/>
      <c r="RJ184"/>
      <c r="RK184"/>
      <c r="RL184"/>
      <c r="RM184"/>
      <c r="RN184"/>
      <c r="RO184"/>
      <c r="RP184"/>
      <c r="RQ184"/>
      <c r="RR184"/>
      <c r="RS184"/>
      <c r="RT184"/>
      <c r="RU184"/>
      <c r="RV184"/>
      <c r="RW184"/>
      <c r="RX184"/>
      <c r="RY184"/>
      <c r="RZ184"/>
      <c r="SA184"/>
      <c r="SB184"/>
      <c r="SC184"/>
      <c r="SD184"/>
      <c r="SE184"/>
      <c r="SF184"/>
      <c r="SG184"/>
      <c r="SH184"/>
      <c r="SI184"/>
      <c r="SJ184"/>
      <c r="SK184"/>
      <c r="SL184"/>
      <c r="SM184"/>
      <c r="SN184"/>
      <c r="SO184"/>
      <c r="SP184"/>
      <c r="SQ184"/>
      <c r="SR184"/>
      <c r="SS184"/>
      <c r="ST184"/>
      <c r="SU184"/>
      <c r="SV184"/>
      <c r="SW184"/>
      <c r="SX184"/>
      <c r="SY184"/>
      <c r="SZ184"/>
      <c r="TA184"/>
      <c r="TB184"/>
      <c r="TC184"/>
      <c r="TD184"/>
      <c r="TE184"/>
      <c r="TF184"/>
      <c r="TG184"/>
      <c r="TH184"/>
      <c r="TI184"/>
      <c r="TJ184"/>
      <c r="TK184"/>
      <c r="TL184"/>
      <c r="TM184"/>
      <c r="TN184"/>
      <c r="TO184"/>
      <c r="TP184"/>
      <c r="TQ184"/>
      <c r="TR184"/>
      <c r="TS184"/>
      <c r="TT184"/>
      <c r="TU184"/>
      <c r="TV184"/>
      <c r="TW184"/>
      <c r="TX184"/>
      <c r="TY184"/>
      <c r="TZ184"/>
      <c r="UA184"/>
      <c r="UB184"/>
      <c r="UC184"/>
      <c r="UD184"/>
      <c r="UE184"/>
      <c r="UF184"/>
      <c r="UG184"/>
      <c r="UH184"/>
      <c r="UI184"/>
      <c r="UJ184"/>
      <c r="UK184"/>
      <c r="UL184"/>
      <c r="UM184"/>
      <c r="UN184"/>
      <c r="UO184"/>
      <c r="UP184"/>
      <c r="UQ184"/>
      <c r="UR184"/>
      <c r="US184"/>
      <c r="UT184"/>
      <c r="UU184"/>
      <c r="UV184"/>
      <c r="UW184"/>
      <c r="UX184"/>
      <c r="UY184"/>
      <c r="UZ184"/>
      <c r="VA184"/>
      <c r="VB184"/>
      <c r="VC184"/>
      <c r="VD184"/>
      <c r="VE184"/>
      <c r="VF184"/>
      <c r="VG184"/>
    </row>
    <row r="185" spans="1:579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/>
      <c r="NO185"/>
      <c r="NP185"/>
      <c r="NQ185"/>
      <c r="NR185"/>
      <c r="NS185"/>
      <c r="NT185"/>
      <c r="NU185"/>
      <c r="NV185"/>
      <c r="NW185"/>
      <c r="NX185"/>
      <c r="NY185"/>
      <c r="NZ185"/>
      <c r="OA185"/>
      <c r="OB185"/>
      <c r="OC185"/>
      <c r="OD185"/>
      <c r="OE185"/>
      <c r="OF185"/>
      <c r="OG185"/>
      <c r="OH185"/>
      <c r="OI185"/>
      <c r="OJ185"/>
      <c r="OK185"/>
      <c r="OL185"/>
      <c r="OM185"/>
      <c r="ON185"/>
      <c r="OO185"/>
      <c r="OP185"/>
      <c r="OQ185"/>
      <c r="OR185"/>
      <c r="OS185"/>
      <c r="OT185"/>
      <c r="OU185"/>
      <c r="OV185"/>
      <c r="OW185"/>
      <c r="OX185"/>
      <c r="OY185"/>
      <c r="OZ185"/>
      <c r="PA185"/>
      <c r="PB185"/>
      <c r="PC185"/>
      <c r="PD185"/>
      <c r="PE185"/>
      <c r="PF185"/>
      <c r="PG185"/>
      <c r="PH185"/>
      <c r="PI185"/>
      <c r="PJ185"/>
      <c r="PK185"/>
      <c r="PL185"/>
      <c r="PM185"/>
      <c r="PN185"/>
      <c r="PO185"/>
      <c r="PP185"/>
      <c r="PQ185"/>
      <c r="PR185"/>
      <c r="PS185"/>
      <c r="PT185"/>
      <c r="PU185"/>
      <c r="PV185"/>
      <c r="PW185"/>
      <c r="PX185"/>
      <c r="PY185"/>
      <c r="PZ185"/>
      <c r="QA185"/>
      <c r="QB185"/>
      <c r="QC185"/>
      <c r="QD185"/>
      <c r="QE185"/>
      <c r="QF185"/>
      <c r="QG185"/>
      <c r="QH185"/>
      <c r="QI185"/>
      <c r="QJ185"/>
      <c r="QK185"/>
      <c r="QL185"/>
      <c r="QM185"/>
      <c r="QN185"/>
      <c r="QO185"/>
      <c r="QP185"/>
      <c r="QQ185"/>
      <c r="QR185"/>
      <c r="QS185"/>
      <c r="QT185"/>
      <c r="QU185"/>
      <c r="QV185"/>
      <c r="QW185"/>
      <c r="QX185"/>
      <c r="QY185"/>
      <c r="QZ185"/>
      <c r="RA185"/>
      <c r="RB185"/>
      <c r="RC185"/>
      <c r="RD185"/>
      <c r="RE185"/>
      <c r="RF185"/>
      <c r="RG185"/>
      <c r="RH185"/>
      <c r="RI185"/>
      <c r="RJ185"/>
      <c r="RK185"/>
      <c r="RL185"/>
      <c r="RM185"/>
      <c r="RN185"/>
      <c r="RO185"/>
      <c r="RP185"/>
      <c r="RQ185"/>
      <c r="RR185"/>
      <c r="RS185"/>
      <c r="RT185"/>
      <c r="RU185"/>
      <c r="RV185"/>
      <c r="RW185"/>
      <c r="RX185"/>
      <c r="RY185"/>
      <c r="RZ185"/>
      <c r="SA185"/>
      <c r="SB185"/>
      <c r="SC185"/>
      <c r="SD185"/>
      <c r="SE185"/>
      <c r="SF185"/>
      <c r="SG185"/>
      <c r="SH185"/>
      <c r="SI185"/>
      <c r="SJ185"/>
      <c r="SK185"/>
      <c r="SL185"/>
      <c r="SM185"/>
      <c r="SN185"/>
      <c r="SO185"/>
      <c r="SP185"/>
      <c r="SQ185"/>
      <c r="SR185"/>
      <c r="SS185"/>
      <c r="ST185"/>
      <c r="SU185"/>
      <c r="SV185"/>
      <c r="SW185"/>
      <c r="SX185"/>
      <c r="SY185"/>
      <c r="SZ185"/>
      <c r="TA185"/>
      <c r="TB185"/>
      <c r="TC185"/>
      <c r="TD185"/>
      <c r="TE185"/>
      <c r="TF185"/>
      <c r="TG185"/>
      <c r="TH185"/>
      <c r="TI185"/>
      <c r="TJ185"/>
      <c r="TK185"/>
      <c r="TL185"/>
      <c r="TM185"/>
      <c r="TN185"/>
      <c r="TO185"/>
      <c r="TP185"/>
      <c r="TQ185"/>
      <c r="TR185"/>
      <c r="TS185"/>
      <c r="TT185"/>
      <c r="TU185"/>
      <c r="TV185"/>
      <c r="TW185"/>
      <c r="TX185"/>
      <c r="TY185"/>
      <c r="TZ185"/>
      <c r="UA185"/>
      <c r="UB185"/>
      <c r="UC185"/>
      <c r="UD185"/>
      <c r="UE185"/>
      <c r="UF185"/>
      <c r="UG185"/>
      <c r="UH185"/>
      <c r="UI185"/>
      <c r="UJ185"/>
      <c r="UK185"/>
      <c r="UL185"/>
      <c r="UM185"/>
      <c r="UN185"/>
      <c r="UO185"/>
      <c r="UP185"/>
      <c r="UQ185"/>
      <c r="UR185"/>
      <c r="US185"/>
      <c r="UT185"/>
      <c r="UU185"/>
      <c r="UV185"/>
      <c r="UW185"/>
      <c r="UX185"/>
      <c r="UY185"/>
      <c r="UZ185"/>
      <c r="VA185"/>
      <c r="VB185"/>
      <c r="VC185"/>
      <c r="VD185"/>
      <c r="VE185"/>
      <c r="VF185"/>
      <c r="VG185"/>
    </row>
    <row r="186" spans="1:579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/>
      <c r="NO186"/>
      <c r="NP186"/>
      <c r="NQ186"/>
      <c r="NR186"/>
      <c r="NS186"/>
      <c r="NT186"/>
      <c r="NU186"/>
      <c r="NV186"/>
      <c r="NW186"/>
      <c r="NX186"/>
      <c r="NY186"/>
      <c r="NZ186"/>
      <c r="OA186"/>
      <c r="OB186"/>
      <c r="OC186"/>
      <c r="OD186"/>
      <c r="OE186"/>
      <c r="OF186"/>
      <c r="OG186"/>
      <c r="OH186"/>
      <c r="OI186"/>
      <c r="OJ186"/>
      <c r="OK186"/>
      <c r="OL186"/>
      <c r="OM186"/>
      <c r="ON186"/>
      <c r="OO186"/>
      <c r="OP186"/>
      <c r="OQ186"/>
      <c r="OR186"/>
      <c r="OS186"/>
      <c r="OT186"/>
      <c r="OU186"/>
      <c r="OV186"/>
      <c r="OW186"/>
      <c r="OX186"/>
      <c r="OY186"/>
      <c r="OZ186"/>
      <c r="PA186"/>
      <c r="PB186"/>
      <c r="PC186"/>
      <c r="PD186"/>
      <c r="PE186"/>
      <c r="PF186"/>
      <c r="PG186"/>
      <c r="PH186"/>
      <c r="PI186"/>
      <c r="PJ186"/>
      <c r="PK186"/>
      <c r="PL186"/>
      <c r="PM186"/>
      <c r="PN186"/>
      <c r="PO186"/>
      <c r="PP186"/>
      <c r="PQ186"/>
      <c r="PR186"/>
      <c r="PS186"/>
      <c r="PT186"/>
      <c r="PU186"/>
      <c r="PV186"/>
      <c r="PW186"/>
      <c r="PX186"/>
      <c r="PY186"/>
      <c r="PZ186"/>
      <c r="QA186"/>
      <c r="QB186"/>
      <c r="QC186"/>
      <c r="QD186"/>
      <c r="QE186"/>
      <c r="QF186"/>
      <c r="QG186"/>
      <c r="QH186"/>
      <c r="QI186"/>
      <c r="QJ186"/>
      <c r="QK186"/>
      <c r="QL186"/>
      <c r="QM186"/>
      <c r="QN186"/>
      <c r="QO186"/>
      <c r="QP186"/>
      <c r="QQ186"/>
      <c r="QR186"/>
      <c r="QS186"/>
      <c r="QT186"/>
      <c r="QU186"/>
      <c r="QV186"/>
      <c r="QW186"/>
      <c r="QX186"/>
      <c r="QY186"/>
      <c r="QZ186"/>
      <c r="RA186"/>
      <c r="RB186"/>
      <c r="RC186"/>
      <c r="RD186"/>
      <c r="RE186"/>
      <c r="RF186"/>
      <c r="RG186"/>
      <c r="RH186"/>
      <c r="RI186"/>
      <c r="RJ186"/>
      <c r="RK186"/>
      <c r="RL186"/>
      <c r="RM186"/>
      <c r="RN186"/>
      <c r="RO186"/>
      <c r="RP186"/>
      <c r="RQ186"/>
      <c r="RR186"/>
      <c r="RS186"/>
      <c r="RT186"/>
      <c r="RU186"/>
      <c r="RV186"/>
      <c r="RW186"/>
      <c r="RX186"/>
      <c r="RY186"/>
      <c r="RZ186"/>
      <c r="SA186"/>
      <c r="SB186"/>
      <c r="SC186"/>
      <c r="SD186"/>
      <c r="SE186"/>
      <c r="SF186"/>
      <c r="SG186"/>
      <c r="SH186"/>
      <c r="SI186"/>
      <c r="SJ186"/>
      <c r="SK186"/>
      <c r="SL186"/>
      <c r="SM186"/>
      <c r="SN186"/>
      <c r="SO186"/>
      <c r="SP186"/>
      <c r="SQ186"/>
      <c r="SR186"/>
      <c r="SS186"/>
      <c r="ST186"/>
      <c r="SU186"/>
      <c r="SV186"/>
      <c r="SW186"/>
      <c r="SX186"/>
      <c r="SY186"/>
      <c r="SZ186"/>
      <c r="TA186"/>
      <c r="TB186"/>
      <c r="TC186"/>
      <c r="TD186"/>
      <c r="TE186"/>
      <c r="TF186"/>
      <c r="TG186"/>
      <c r="TH186"/>
      <c r="TI186"/>
      <c r="TJ186"/>
      <c r="TK186"/>
      <c r="TL186"/>
      <c r="TM186"/>
      <c r="TN186"/>
      <c r="TO186"/>
      <c r="TP186"/>
      <c r="TQ186"/>
      <c r="TR186"/>
      <c r="TS186"/>
      <c r="TT186"/>
      <c r="TU186"/>
      <c r="TV186"/>
      <c r="TW186"/>
      <c r="TX186"/>
      <c r="TY186"/>
      <c r="TZ186"/>
      <c r="UA186"/>
      <c r="UB186"/>
      <c r="UC186"/>
      <c r="UD186"/>
      <c r="UE186"/>
      <c r="UF186"/>
      <c r="UG186"/>
      <c r="UH186"/>
      <c r="UI186"/>
      <c r="UJ186"/>
      <c r="UK186"/>
      <c r="UL186"/>
      <c r="UM186"/>
      <c r="UN186"/>
      <c r="UO186"/>
      <c r="UP186"/>
      <c r="UQ186"/>
      <c r="UR186"/>
      <c r="US186"/>
      <c r="UT186"/>
      <c r="UU186"/>
      <c r="UV186"/>
      <c r="UW186"/>
      <c r="UX186"/>
      <c r="UY186"/>
      <c r="UZ186"/>
      <c r="VA186"/>
      <c r="VB186"/>
      <c r="VC186"/>
      <c r="VD186"/>
      <c r="VE186"/>
      <c r="VF186"/>
      <c r="VG186"/>
    </row>
    <row r="187" spans="1:579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/>
      <c r="NO187"/>
      <c r="NP187"/>
      <c r="NQ187"/>
      <c r="NR187"/>
      <c r="NS187"/>
      <c r="NT187"/>
      <c r="NU187"/>
      <c r="NV187"/>
      <c r="NW187"/>
      <c r="NX187"/>
      <c r="NY187"/>
      <c r="NZ187"/>
      <c r="OA187"/>
      <c r="OB187"/>
      <c r="OC187"/>
      <c r="OD187"/>
      <c r="OE187"/>
      <c r="OF187"/>
      <c r="OG187"/>
      <c r="OH187"/>
      <c r="OI187"/>
      <c r="OJ187"/>
      <c r="OK187"/>
      <c r="OL187"/>
      <c r="OM187"/>
      <c r="ON187"/>
      <c r="OO187"/>
      <c r="OP187"/>
      <c r="OQ187"/>
      <c r="OR187"/>
      <c r="OS187"/>
      <c r="OT187"/>
      <c r="OU187"/>
      <c r="OV187"/>
      <c r="OW187"/>
      <c r="OX187"/>
      <c r="OY187"/>
      <c r="OZ187"/>
      <c r="PA187"/>
      <c r="PB187"/>
      <c r="PC187"/>
      <c r="PD187"/>
      <c r="PE187"/>
      <c r="PF187"/>
      <c r="PG187"/>
      <c r="PH187"/>
      <c r="PI187"/>
      <c r="PJ187"/>
      <c r="PK187"/>
      <c r="PL187"/>
      <c r="PM187"/>
      <c r="PN187"/>
      <c r="PO187"/>
      <c r="PP187"/>
      <c r="PQ187"/>
      <c r="PR187"/>
      <c r="PS187"/>
      <c r="PT187"/>
      <c r="PU187"/>
      <c r="PV187"/>
      <c r="PW187"/>
      <c r="PX187"/>
      <c r="PY187"/>
      <c r="PZ187"/>
      <c r="QA187"/>
      <c r="QB187"/>
      <c r="QC187"/>
      <c r="QD187"/>
      <c r="QE187"/>
      <c r="QF187"/>
      <c r="QG187"/>
      <c r="QH187"/>
      <c r="QI187"/>
      <c r="QJ187"/>
      <c r="QK187"/>
      <c r="QL187"/>
      <c r="QM187"/>
      <c r="QN187"/>
      <c r="QO187"/>
      <c r="QP187"/>
      <c r="QQ187"/>
      <c r="QR187"/>
      <c r="QS187"/>
      <c r="QT187"/>
      <c r="QU187"/>
      <c r="QV187"/>
      <c r="QW187"/>
      <c r="QX187"/>
      <c r="QY187"/>
      <c r="QZ187"/>
      <c r="RA187"/>
      <c r="RB187"/>
      <c r="RC187"/>
      <c r="RD187"/>
      <c r="RE187"/>
      <c r="RF187"/>
      <c r="RG187"/>
      <c r="RH187"/>
      <c r="RI187"/>
      <c r="RJ187"/>
      <c r="RK187"/>
      <c r="RL187"/>
      <c r="RM187"/>
      <c r="RN187"/>
      <c r="RO187"/>
      <c r="RP187"/>
      <c r="RQ187"/>
      <c r="RR187"/>
      <c r="RS187"/>
      <c r="RT187"/>
      <c r="RU187"/>
      <c r="RV187"/>
      <c r="RW187"/>
      <c r="RX187"/>
      <c r="RY187"/>
      <c r="RZ187"/>
      <c r="SA187"/>
      <c r="SB187"/>
      <c r="SC187"/>
      <c r="SD187"/>
      <c r="SE187"/>
      <c r="SF187"/>
      <c r="SG187"/>
      <c r="SH187"/>
      <c r="SI187"/>
      <c r="SJ187"/>
      <c r="SK187"/>
      <c r="SL187"/>
      <c r="SM187"/>
      <c r="SN187"/>
      <c r="SO187"/>
      <c r="SP187"/>
      <c r="SQ187"/>
      <c r="SR187"/>
      <c r="SS187"/>
      <c r="ST187"/>
      <c r="SU187"/>
      <c r="SV187"/>
      <c r="SW187"/>
      <c r="SX187"/>
      <c r="SY187"/>
      <c r="SZ187"/>
      <c r="TA187"/>
      <c r="TB187"/>
      <c r="TC187"/>
      <c r="TD187"/>
      <c r="TE187"/>
      <c r="TF187"/>
      <c r="TG187"/>
      <c r="TH187"/>
      <c r="TI187"/>
      <c r="TJ187"/>
      <c r="TK187"/>
      <c r="TL187"/>
      <c r="TM187"/>
      <c r="TN187"/>
      <c r="TO187"/>
      <c r="TP187"/>
      <c r="TQ187"/>
      <c r="TR187"/>
      <c r="TS187"/>
      <c r="TT187"/>
      <c r="TU187"/>
      <c r="TV187"/>
      <c r="TW187"/>
      <c r="TX187"/>
      <c r="TY187"/>
      <c r="TZ187"/>
      <c r="UA187"/>
      <c r="UB187"/>
      <c r="UC187"/>
      <c r="UD187"/>
      <c r="UE187"/>
      <c r="UF187"/>
      <c r="UG187"/>
      <c r="UH187"/>
      <c r="UI187"/>
      <c r="UJ187"/>
      <c r="UK187"/>
      <c r="UL187"/>
      <c r="UM187"/>
      <c r="UN187"/>
      <c r="UO187"/>
      <c r="UP187"/>
      <c r="UQ187"/>
      <c r="UR187"/>
      <c r="US187"/>
      <c r="UT187"/>
      <c r="UU187"/>
      <c r="UV187"/>
      <c r="UW187"/>
      <c r="UX187"/>
      <c r="UY187"/>
      <c r="UZ187"/>
      <c r="VA187"/>
      <c r="VB187"/>
      <c r="VC187"/>
      <c r="VD187"/>
      <c r="VE187"/>
      <c r="VF187"/>
      <c r="VG187"/>
    </row>
    <row r="188" spans="1:579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  <c r="NK188"/>
      <c r="NL188"/>
      <c r="NM188"/>
      <c r="NN188"/>
      <c r="NO188"/>
      <c r="NP188"/>
      <c r="NQ188"/>
      <c r="NR188"/>
      <c r="NS188"/>
      <c r="NT188"/>
      <c r="NU188"/>
      <c r="NV188"/>
      <c r="NW188"/>
      <c r="NX188"/>
      <c r="NY188"/>
      <c r="NZ188"/>
      <c r="OA188"/>
      <c r="OB188"/>
      <c r="OC188"/>
      <c r="OD188"/>
      <c r="OE188"/>
      <c r="OF188"/>
      <c r="OG188"/>
      <c r="OH188"/>
      <c r="OI188"/>
      <c r="OJ188"/>
      <c r="OK188"/>
      <c r="OL188"/>
      <c r="OM188"/>
      <c r="ON188"/>
      <c r="OO188"/>
      <c r="OP188"/>
      <c r="OQ188"/>
      <c r="OR188"/>
      <c r="OS188"/>
      <c r="OT188"/>
      <c r="OU188"/>
      <c r="OV188"/>
      <c r="OW188"/>
      <c r="OX188"/>
      <c r="OY188"/>
      <c r="OZ188"/>
      <c r="PA188"/>
      <c r="PB188"/>
      <c r="PC188"/>
      <c r="PD188"/>
      <c r="PE188"/>
      <c r="PF188"/>
      <c r="PG188"/>
      <c r="PH188"/>
      <c r="PI188"/>
      <c r="PJ188"/>
      <c r="PK188"/>
      <c r="PL188"/>
      <c r="PM188"/>
      <c r="PN188"/>
      <c r="PO188"/>
      <c r="PP188"/>
      <c r="PQ188"/>
      <c r="PR188"/>
      <c r="PS188"/>
      <c r="PT188"/>
      <c r="PU188"/>
      <c r="PV188"/>
      <c r="PW188"/>
      <c r="PX188"/>
      <c r="PY188"/>
      <c r="PZ188"/>
      <c r="QA188"/>
      <c r="QB188"/>
      <c r="QC188"/>
      <c r="QD188"/>
      <c r="QE188"/>
      <c r="QF188"/>
      <c r="QG188"/>
      <c r="QH188"/>
      <c r="QI188"/>
      <c r="QJ188"/>
      <c r="QK188"/>
      <c r="QL188"/>
      <c r="QM188"/>
      <c r="QN188"/>
      <c r="QO188"/>
      <c r="QP188"/>
      <c r="QQ188"/>
      <c r="QR188"/>
      <c r="QS188"/>
      <c r="QT188"/>
      <c r="QU188"/>
      <c r="QV188"/>
      <c r="QW188"/>
      <c r="QX188"/>
      <c r="QY188"/>
      <c r="QZ188"/>
      <c r="RA188"/>
      <c r="RB188"/>
      <c r="RC188"/>
      <c r="RD188"/>
      <c r="RE188"/>
      <c r="RF188"/>
      <c r="RG188"/>
      <c r="RH188"/>
      <c r="RI188"/>
      <c r="RJ188"/>
      <c r="RK188"/>
      <c r="RL188"/>
      <c r="RM188"/>
      <c r="RN188"/>
      <c r="RO188"/>
      <c r="RP188"/>
      <c r="RQ188"/>
      <c r="RR188"/>
      <c r="RS188"/>
      <c r="RT188"/>
      <c r="RU188"/>
      <c r="RV188"/>
      <c r="RW188"/>
      <c r="RX188"/>
      <c r="RY188"/>
      <c r="RZ188"/>
      <c r="SA188"/>
      <c r="SB188"/>
      <c r="SC188"/>
      <c r="SD188"/>
      <c r="SE188"/>
      <c r="SF188"/>
      <c r="SG188"/>
      <c r="SH188"/>
      <c r="SI188"/>
      <c r="SJ188"/>
      <c r="SK188"/>
      <c r="SL188"/>
      <c r="SM188"/>
      <c r="SN188"/>
      <c r="SO188"/>
      <c r="SP188"/>
      <c r="SQ188"/>
      <c r="SR188"/>
      <c r="SS188"/>
      <c r="ST188"/>
      <c r="SU188"/>
      <c r="SV188"/>
      <c r="SW188"/>
      <c r="SX188"/>
      <c r="SY188"/>
      <c r="SZ188"/>
      <c r="TA188"/>
      <c r="TB188"/>
      <c r="TC188"/>
      <c r="TD188"/>
      <c r="TE188"/>
      <c r="TF188"/>
      <c r="TG188"/>
      <c r="TH188"/>
      <c r="TI188"/>
      <c r="TJ188"/>
      <c r="TK188"/>
      <c r="TL188"/>
      <c r="TM188"/>
      <c r="TN188"/>
      <c r="TO188"/>
      <c r="TP188"/>
      <c r="TQ188"/>
      <c r="TR188"/>
      <c r="TS188"/>
      <c r="TT188"/>
      <c r="TU188"/>
      <c r="TV188"/>
      <c r="TW188"/>
      <c r="TX188"/>
      <c r="TY188"/>
      <c r="TZ188"/>
      <c r="UA188"/>
      <c r="UB188"/>
      <c r="UC188"/>
      <c r="UD188"/>
      <c r="UE188"/>
      <c r="UF188"/>
      <c r="UG188"/>
      <c r="UH188"/>
      <c r="UI188"/>
      <c r="UJ188"/>
      <c r="UK188"/>
      <c r="UL188"/>
      <c r="UM188"/>
      <c r="UN188"/>
      <c r="UO188"/>
      <c r="UP188"/>
      <c r="UQ188"/>
      <c r="UR188"/>
      <c r="US188"/>
      <c r="UT188"/>
      <c r="UU188"/>
      <c r="UV188"/>
      <c r="UW188"/>
      <c r="UX188"/>
      <c r="UY188"/>
      <c r="UZ188"/>
      <c r="VA188"/>
      <c r="VB188"/>
      <c r="VC188"/>
      <c r="VD188"/>
      <c r="VE188"/>
      <c r="VF188"/>
      <c r="VG188"/>
    </row>
    <row r="189" spans="1:579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/>
      <c r="NO189"/>
      <c r="NP189"/>
      <c r="NQ189"/>
      <c r="NR189"/>
      <c r="NS189"/>
      <c r="NT189"/>
      <c r="NU189"/>
      <c r="NV189"/>
      <c r="NW189"/>
      <c r="NX189"/>
      <c r="NY189"/>
      <c r="NZ189"/>
      <c r="OA189"/>
      <c r="OB189"/>
      <c r="OC189"/>
      <c r="OD189"/>
      <c r="OE189"/>
      <c r="OF189"/>
      <c r="OG189"/>
      <c r="OH189"/>
      <c r="OI189"/>
      <c r="OJ189"/>
      <c r="OK189"/>
      <c r="OL189"/>
      <c r="OM189"/>
      <c r="ON189"/>
      <c r="OO189"/>
      <c r="OP189"/>
      <c r="OQ189"/>
      <c r="OR189"/>
      <c r="OS189"/>
      <c r="OT189"/>
      <c r="OU189"/>
      <c r="OV189"/>
      <c r="OW189"/>
      <c r="OX189"/>
      <c r="OY189"/>
      <c r="OZ189"/>
      <c r="PA189"/>
      <c r="PB189"/>
      <c r="PC189"/>
      <c r="PD189"/>
      <c r="PE189"/>
      <c r="PF189"/>
      <c r="PG189"/>
      <c r="PH189"/>
      <c r="PI189"/>
      <c r="PJ189"/>
      <c r="PK189"/>
      <c r="PL189"/>
      <c r="PM189"/>
      <c r="PN189"/>
      <c r="PO189"/>
      <c r="PP189"/>
      <c r="PQ189"/>
      <c r="PR189"/>
      <c r="PS189"/>
      <c r="PT189"/>
      <c r="PU189"/>
      <c r="PV189"/>
      <c r="PW189"/>
      <c r="PX189"/>
      <c r="PY189"/>
      <c r="PZ189"/>
      <c r="QA189"/>
      <c r="QB189"/>
      <c r="QC189"/>
      <c r="QD189"/>
      <c r="QE189"/>
      <c r="QF189"/>
      <c r="QG189"/>
      <c r="QH189"/>
      <c r="QI189"/>
      <c r="QJ189"/>
      <c r="QK189"/>
      <c r="QL189"/>
      <c r="QM189"/>
      <c r="QN189"/>
      <c r="QO189"/>
      <c r="QP189"/>
      <c r="QQ189"/>
      <c r="QR189"/>
      <c r="QS189"/>
      <c r="QT189"/>
      <c r="QU189"/>
      <c r="QV189"/>
      <c r="QW189"/>
      <c r="QX189"/>
      <c r="QY189"/>
      <c r="QZ189"/>
      <c r="RA189"/>
      <c r="RB189"/>
      <c r="RC189"/>
      <c r="RD189"/>
      <c r="RE189"/>
      <c r="RF189"/>
      <c r="RG189"/>
      <c r="RH189"/>
      <c r="RI189"/>
      <c r="RJ189"/>
      <c r="RK189"/>
      <c r="RL189"/>
      <c r="RM189"/>
      <c r="RN189"/>
      <c r="RO189"/>
      <c r="RP189"/>
      <c r="RQ189"/>
      <c r="RR189"/>
      <c r="RS189"/>
      <c r="RT189"/>
      <c r="RU189"/>
      <c r="RV189"/>
      <c r="RW189"/>
      <c r="RX189"/>
      <c r="RY189"/>
      <c r="RZ189"/>
      <c r="SA189"/>
      <c r="SB189"/>
      <c r="SC189"/>
      <c r="SD189"/>
      <c r="SE189"/>
      <c r="SF189"/>
      <c r="SG189"/>
      <c r="SH189"/>
      <c r="SI189"/>
      <c r="SJ189"/>
      <c r="SK189"/>
      <c r="SL189"/>
      <c r="SM189"/>
      <c r="SN189"/>
      <c r="SO189"/>
      <c r="SP189"/>
      <c r="SQ189"/>
      <c r="SR189"/>
      <c r="SS189"/>
      <c r="ST189"/>
      <c r="SU189"/>
      <c r="SV189"/>
      <c r="SW189"/>
      <c r="SX189"/>
      <c r="SY189"/>
      <c r="SZ189"/>
      <c r="TA189"/>
      <c r="TB189"/>
      <c r="TC189"/>
      <c r="TD189"/>
      <c r="TE189"/>
      <c r="TF189"/>
      <c r="TG189"/>
      <c r="TH189"/>
      <c r="TI189"/>
      <c r="TJ189"/>
      <c r="TK189"/>
      <c r="TL189"/>
      <c r="TM189"/>
      <c r="TN189"/>
      <c r="TO189"/>
      <c r="TP189"/>
      <c r="TQ189"/>
      <c r="TR189"/>
      <c r="TS189"/>
      <c r="TT189"/>
      <c r="TU189"/>
      <c r="TV189"/>
      <c r="TW189"/>
      <c r="TX189"/>
      <c r="TY189"/>
      <c r="TZ189"/>
      <c r="UA189"/>
      <c r="UB189"/>
      <c r="UC189"/>
      <c r="UD189"/>
      <c r="UE189"/>
      <c r="UF189"/>
      <c r="UG189"/>
      <c r="UH189"/>
      <c r="UI189"/>
      <c r="UJ189"/>
      <c r="UK189"/>
      <c r="UL189"/>
      <c r="UM189"/>
      <c r="UN189"/>
      <c r="UO189"/>
      <c r="UP189"/>
      <c r="UQ189"/>
      <c r="UR189"/>
      <c r="US189"/>
      <c r="UT189"/>
      <c r="UU189"/>
      <c r="UV189"/>
      <c r="UW189"/>
      <c r="UX189"/>
      <c r="UY189"/>
      <c r="UZ189"/>
      <c r="VA189"/>
      <c r="VB189"/>
      <c r="VC189"/>
      <c r="VD189"/>
      <c r="VE189"/>
      <c r="VF189"/>
      <c r="VG189"/>
    </row>
    <row r="190" spans="1:579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  <c r="NK190"/>
      <c r="NL190"/>
      <c r="NM190"/>
      <c r="NN190"/>
      <c r="NO190"/>
      <c r="NP190"/>
      <c r="NQ190"/>
      <c r="NR190"/>
      <c r="NS190"/>
      <c r="NT190"/>
      <c r="NU190"/>
      <c r="NV190"/>
      <c r="NW190"/>
      <c r="NX190"/>
      <c r="NY190"/>
      <c r="NZ190"/>
      <c r="OA190"/>
      <c r="OB190"/>
      <c r="OC190"/>
      <c r="OD190"/>
      <c r="OE190"/>
      <c r="OF190"/>
      <c r="OG190"/>
      <c r="OH190"/>
      <c r="OI190"/>
      <c r="OJ190"/>
      <c r="OK190"/>
      <c r="OL190"/>
      <c r="OM190"/>
      <c r="ON190"/>
      <c r="OO190"/>
      <c r="OP190"/>
      <c r="OQ190"/>
      <c r="OR190"/>
      <c r="OS190"/>
      <c r="OT190"/>
      <c r="OU190"/>
      <c r="OV190"/>
      <c r="OW190"/>
      <c r="OX190"/>
      <c r="OY190"/>
      <c r="OZ190"/>
      <c r="PA190"/>
      <c r="PB190"/>
      <c r="PC190"/>
      <c r="PD190"/>
      <c r="PE190"/>
      <c r="PF190"/>
      <c r="PG190"/>
      <c r="PH190"/>
      <c r="PI190"/>
      <c r="PJ190"/>
      <c r="PK190"/>
      <c r="PL190"/>
      <c r="PM190"/>
      <c r="PN190"/>
      <c r="PO190"/>
      <c r="PP190"/>
      <c r="PQ190"/>
      <c r="PR190"/>
      <c r="PS190"/>
      <c r="PT190"/>
      <c r="PU190"/>
      <c r="PV190"/>
      <c r="PW190"/>
      <c r="PX190"/>
      <c r="PY190"/>
      <c r="PZ190"/>
      <c r="QA190"/>
      <c r="QB190"/>
      <c r="QC190"/>
      <c r="QD190"/>
      <c r="QE190"/>
      <c r="QF190"/>
      <c r="QG190"/>
      <c r="QH190"/>
      <c r="QI190"/>
      <c r="QJ190"/>
      <c r="QK190"/>
      <c r="QL190"/>
      <c r="QM190"/>
      <c r="QN190"/>
      <c r="QO190"/>
      <c r="QP190"/>
      <c r="QQ190"/>
      <c r="QR190"/>
      <c r="QS190"/>
      <c r="QT190"/>
      <c r="QU190"/>
      <c r="QV190"/>
      <c r="QW190"/>
      <c r="QX190"/>
      <c r="QY190"/>
      <c r="QZ190"/>
      <c r="RA190"/>
      <c r="RB190"/>
      <c r="RC190"/>
      <c r="RD190"/>
      <c r="RE190"/>
      <c r="RF190"/>
      <c r="RG190"/>
      <c r="RH190"/>
      <c r="RI190"/>
      <c r="RJ190"/>
      <c r="RK190"/>
      <c r="RL190"/>
      <c r="RM190"/>
      <c r="RN190"/>
      <c r="RO190"/>
      <c r="RP190"/>
      <c r="RQ190"/>
      <c r="RR190"/>
      <c r="RS190"/>
      <c r="RT190"/>
      <c r="RU190"/>
      <c r="RV190"/>
      <c r="RW190"/>
      <c r="RX190"/>
      <c r="RY190"/>
      <c r="RZ190"/>
      <c r="SA190"/>
      <c r="SB190"/>
      <c r="SC190"/>
      <c r="SD190"/>
      <c r="SE190"/>
      <c r="SF190"/>
      <c r="SG190"/>
      <c r="SH190"/>
      <c r="SI190"/>
      <c r="SJ190"/>
      <c r="SK190"/>
      <c r="SL190"/>
      <c r="SM190"/>
      <c r="SN190"/>
      <c r="SO190"/>
      <c r="SP190"/>
      <c r="SQ190"/>
      <c r="SR190"/>
      <c r="SS190"/>
      <c r="ST190"/>
      <c r="SU190"/>
      <c r="SV190"/>
      <c r="SW190"/>
      <c r="SX190"/>
      <c r="SY190"/>
      <c r="SZ190"/>
      <c r="TA190"/>
      <c r="TB190"/>
      <c r="TC190"/>
      <c r="TD190"/>
      <c r="TE190"/>
      <c r="TF190"/>
      <c r="TG190"/>
      <c r="TH190"/>
      <c r="TI190"/>
      <c r="TJ190"/>
      <c r="TK190"/>
      <c r="TL190"/>
      <c r="TM190"/>
      <c r="TN190"/>
      <c r="TO190"/>
      <c r="TP190"/>
      <c r="TQ190"/>
      <c r="TR190"/>
      <c r="TS190"/>
      <c r="TT190"/>
      <c r="TU190"/>
      <c r="TV190"/>
      <c r="TW190"/>
      <c r="TX190"/>
      <c r="TY190"/>
      <c r="TZ190"/>
      <c r="UA190"/>
      <c r="UB190"/>
      <c r="UC190"/>
      <c r="UD190"/>
      <c r="UE190"/>
      <c r="UF190"/>
      <c r="UG190"/>
      <c r="UH190"/>
      <c r="UI190"/>
      <c r="UJ190"/>
      <c r="UK190"/>
      <c r="UL190"/>
      <c r="UM190"/>
      <c r="UN190"/>
      <c r="UO190"/>
      <c r="UP190"/>
      <c r="UQ190"/>
      <c r="UR190"/>
      <c r="US190"/>
      <c r="UT190"/>
      <c r="UU190"/>
      <c r="UV190"/>
      <c r="UW190"/>
      <c r="UX190"/>
      <c r="UY190"/>
      <c r="UZ190"/>
      <c r="VA190"/>
      <c r="VB190"/>
      <c r="VC190"/>
      <c r="VD190"/>
      <c r="VE190"/>
      <c r="VF190"/>
      <c r="VG190"/>
    </row>
    <row r="191" spans="1:579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</row>
    <row r="192" spans="1:579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</row>
    <row r="193" spans="1:62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</row>
    <row r="194" spans="1:62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</row>
    <row r="195" spans="1:62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</row>
    <row r="196" spans="1:62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</row>
    <row r="197" spans="1:62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</row>
    <row r="198" spans="1:62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</row>
    <row r="199" spans="1:62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</row>
    <row r="200" spans="1:62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</row>
    <row r="201" spans="1:62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</row>
    <row r="202" spans="1:62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</row>
    <row r="203" spans="1:62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</row>
    <row r="204" spans="1:62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</row>
    <row r="205" spans="1:62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</row>
    <row r="206" spans="1:62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</row>
    <row r="207" spans="1:62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</row>
    <row r="208" spans="1:62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</row>
    <row r="209" spans="1:62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</row>
    <row r="210" spans="1:62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</row>
    <row r="211" spans="1:62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</row>
    <row r="212" spans="1:62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</row>
    <row r="213" spans="1:62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</row>
    <row r="214" spans="1:62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</row>
    <row r="215" spans="1:62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</row>
    <row r="216" spans="1:62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</row>
    <row r="217" spans="1:62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</row>
    <row r="218" spans="1:62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</row>
    <row r="219" spans="1:62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</row>
    <row r="220" spans="1:62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</row>
    <row r="221" spans="1:62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</row>
    <row r="222" spans="1:62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</row>
    <row r="223" spans="1:62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</row>
    <row r="224" spans="1:62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</row>
    <row r="225" spans="1:62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</row>
    <row r="226" spans="1:62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</row>
    <row r="227" spans="1:62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</row>
    <row r="228" spans="1:62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</row>
    <row r="229" spans="1:62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</row>
    <row r="230" spans="1:62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</row>
    <row r="231" spans="1:62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</row>
    <row r="232" spans="1:62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</row>
    <row r="233" spans="1:62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</row>
    <row r="234" spans="1:62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</row>
    <row r="235" spans="1:62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</row>
    <row r="236" spans="1:62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</row>
    <row r="237" spans="1:62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</row>
    <row r="238" spans="1:62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</row>
    <row r="239" spans="1:62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</row>
    <row r="240" spans="1:62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</row>
    <row r="241" spans="1:62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</row>
    <row r="242" spans="1:62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</row>
    <row r="243" spans="1:62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</row>
    <row r="244" spans="1:62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</row>
    <row r="245" spans="1:62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</row>
    <row r="246" spans="1:62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</row>
    <row r="247" spans="1:62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</row>
    <row r="248" spans="1:62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</row>
    <row r="249" spans="1:62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</row>
    <row r="250" spans="1:62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</row>
    <row r="251" spans="1:62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</row>
    <row r="252" spans="1:62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</row>
    <row r="253" spans="1:62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</row>
    <row r="254" spans="1:62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</row>
    <row r="255" spans="1:62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</row>
    <row r="256" spans="1:62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</row>
    <row r="257" spans="1:62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</row>
    <row r="258" spans="1:62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</row>
    <row r="259" spans="1:62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</row>
    <row r="260" spans="1:62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</row>
    <row r="261" spans="1:62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</row>
    <row r="262" spans="1:62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</row>
    <row r="263" spans="1:62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</row>
    <row r="264" spans="1:62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</row>
    <row r="265" spans="1:62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</row>
    <row r="266" spans="1:62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</row>
    <row r="267" spans="1:62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</row>
    <row r="268" spans="1:62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</row>
    <row r="269" spans="1:62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</row>
    <row r="270" spans="1:62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</row>
    <row r="271" spans="1:62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</row>
    <row r="272" spans="1:62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</row>
    <row r="273" spans="1:62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</row>
    <row r="274" spans="1:62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</row>
    <row r="275" spans="1:62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</row>
    <row r="276" spans="1:62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</row>
    <row r="277" spans="1:62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</row>
    <row r="278" spans="1:62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</row>
    <row r="279" spans="1:62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</row>
    <row r="280" spans="1:62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</row>
    <row r="281" spans="1:62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</row>
    <row r="282" spans="1:62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</row>
    <row r="283" spans="1:62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</row>
    <row r="284" spans="1:62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</row>
    <row r="285" spans="1:62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</row>
    <row r="286" spans="1:62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</row>
    <row r="287" spans="1:62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</row>
    <row r="288" spans="1:62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</row>
    <row r="289" spans="1:62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</row>
    <row r="290" spans="1:62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</row>
    <row r="291" spans="1:62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</row>
    <row r="292" spans="1:62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</row>
    <row r="293" spans="1:62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</row>
    <row r="294" spans="1:62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</row>
    <row r="295" spans="1:62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</row>
    <row r="296" spans="1:62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</row>
    <row r="297" spans="1:62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</row>
    <row r="298" spans="1:62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</row>
    <row r="299" spans="1:62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</row>
    <row r="300" spans="1:62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</row>
    <row r="301" spans="1:62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</row>
    <row r="302" spans="1:62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</row>
    <row r="303" spans="1:62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</row>
    <row r="304" spans="1:62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</row>
    <row r="305" spans="1:62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</row>
    <row r="306" spans="1:62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</row>
    <row r="307" spans="1:62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</row>
    <row r="308" spans="1:62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</row>
    <row r="309" spans="1:62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</row>
    <row r="310" spans="1:62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</row>
    <row r="311" spans="1:62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</row>
    <row r="312" spans="1:62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</row>
    <row r="313" spans="1:62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</row>
    <row r="314" spans="1:62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</row>
    <row r="315" spans="1:62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</row>
    <row r="316" spans="1:62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</row>
    <row r="317" spans="1:62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</row>
    <row r="318" spans="1:62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</row>
    <row r="319" spans="1:62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</row>
    <row r="320" spans="1:62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</row>
    <row r="321" spans="1:62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</row>
    <row r="322" spans="1:62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</row>
    <row r="323" spans="1:62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</row>
    <row r="324" spans="1:62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</row>
    <row r="325" spans="1:62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</row>
    <row r="326" spans="1:62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</row>
    <row r="327" spans="1:62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</row>
    <row r="328" spans="1:62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</row>
    <row r="329" spans="1:62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</row>
    <row r="330" spans="1:62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</row>
    <row r="331" spans="1:62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</row>
    <row r="332" spans="1:62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</row>
    <row r="333" spans="1:62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</row>
    <row r="334" spans="1:62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</row>
    <row r="335" spans="1:62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</row>
    <row r="336" spans="1:62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</row>
    <row r="337" spans="1:62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</row>
    <row r="338" spans="1:62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</row>
    <row r="339" spans="1:62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</row>
    <row r="340" spans="1:62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</row>
    <row r="341" spans="1:62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</row>
    <row r="342" spans="1:62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</row>
    <row r="343" spans="1:62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</row>
    <row r="344" spans="1:62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</row>
    <row r="345" spans="1:62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</row>
    <row r="346" spans="1:62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</row>
    <row r="347" spans="1:62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</row>
    <row r="348" spans="1:62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</row>
    <row r="349" spans="1:62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</row>
    <row r="350" spans="1:62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</row>
    <row r="351" spans="1:62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</row>
    <row r="352" spans="1:62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</row>
    <row r="353" spans="1:62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</row>
    <row r="354" spans="1:62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</row>
    <row r="355" spans="1:62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</row>
    <row r="356" spans="1:62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</row>
    <row r="357" spans="1:62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</row>
    <row r="358" spans="1:62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</row>
    <row r="359" spans="1:62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</row>
    <row r="360" spans="1:62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</row>
    <row r="361" spans="1:62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</row>
    <row r="362" spans="1:62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</row>
    <row r="363" spans="1:62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</row>
    <row r="364" spans="1:62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</row>
    <row r="365" spans="1:62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</row>
    <row r="366" spans="1:62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</row>
    <row r="367" spans="1:62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</row>
    <row r="368" spans="1:62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</row>
    <row r="369" spans="1:62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</row>
    <row r="370" spans="1:62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</row>
    <row r="371" spans="1:62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</row>
    <row r="372" spans="1:62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</row>
    <row r="373" spans="1:62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</row>
    <row r="374" spans="1:62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</row>
    <row r="375" spans="1:62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</row>
    <row r="376" spans="1:62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</row>
    <row r="377" spans="1:62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</row>
    <row r="378" spans="1:62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</row>
    <row r="379" spans="1:62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</row>
    <row r="380" spans="1:62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</row>
    <row r="381" spans="1:62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</row>
    <row r="382" spans="1:62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</row>
    <row r="383" spans="1:62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</row>
    <row r="384" spans="1:62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</row>
    <row r="385" spans="1:62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</row>
    <row r="386" spans="1:62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</row>
    <row r="387" spans="1:62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</row>
    <row r="388" spans="1:62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</row>
    <row r="389" spans="1:62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</row>
    <row r="390" spans="1:62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</row>
    <row r="391" spans="1:62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</row>
    <row r="392" spans="1:62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</row>
    <row r="393" spans="1:62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</row>
    <row r="394" spans="1:62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</row>
    <row r="395" spans="1:62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</row>
    <row r="396" spans="1:62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</row>
    <row r="397" spans="1:62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</row>
    <row r="398" spans="1:62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</row>
    <row r="399" spans="1:62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</row>
    <row r="400" spans="1:62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</row>
    <row r="401" spans="1:62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</row>
    <row r="402" spans="1:62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</row>
    <row r="403" spans="1:62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</row>
    <row r="404" spans="1:62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</row>
    <row r="405" spans="1:62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</row>
    <row r="406" spans="1:62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</row>
    <row r="407" spans="1:62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</row>
    <row r="408" spans="1:62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</row>
    <row r="409" spans="1:62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</row>
    <row r="410" spans="1:62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</row>
    <row r="411" spans="1:62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</row>
    <row r="412" spans="1:62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</row>
    <row r="413" spans="1:62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</row>
    <row r="414" spans="1:62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</row>
    <row r="415" spans="1:62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</row>
    <row r="416" spans="1:62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</row>
    <row r="417" spans="1:62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</row>
    <row r="418" spans="1:62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</row>
    <row r="419" spans="1:62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</row>
    <row r="420" spans="1:62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</row>
    <row r="421" spans="1:62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</row>
    <row r="422" spans="1:62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</row>
    <row r="423" spans="1:62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</row>
    <row r="424" spans="1:62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</row>
    <row r="425" spans="1:62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</row>
    <row r="426" spans="1:62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</row>
    <row r="427" spans="1:62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</row>
    <row r="428" spans="1:62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</row>
    <row r="429" spans="1:62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</row>
    <row r="430" spans="1:62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</row>
    <row r="431" spans="1:62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</row>
    <row r="432" spans="1:62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</row>
    <row r="433" spans="1:62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</row>
    <row r="434" spans="1:62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</row>
    <row r="435" spans="1:62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</row>
    <row r="436" spans="1:62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</row>
    <row r="437" spans="1:62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</row>
    <row r="438" spans="1:62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</row>
    <row r="439" spans="1:62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</row>
    <row r="440" spans="1:62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</row>
    <row r="441" spans="1:62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</row>
    <row r="442" spans="1:62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</row>
    <row r="443" spans="1:62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</row>
    <row r="444" spans="1:62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</row>
    <row r="445" spans="1:62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</row>
    <row r="446" spans="1:62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</row>
    <row r="447" spans="1:62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</row>
    <row r="448" spans="1:62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</row>
    <row r="449" spans="1:62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</row>
    <row r="450" spans="1:62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</row>
    <row r="451" spans="1:62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</row>
    <row r="452" spans="1:62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</row>
    <row r="453" spans="1:62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</row>
    <row r="454" spans="1:62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</row>
    <row r="455" spans="1:62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</row>
    <row r="456" spans="1:62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</row>
    <row r="457" spans="1:62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</row>
    <row r="458" spans="1:62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</row>
    <row r="459" spans="1:62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</row>
    <row r="460" spans="1:62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</row>
    <row r="461" spans="1:62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</row>
    <row r="462" spans="1:62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</row>
    <row r="463" spans="1:62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</row>
    <row r="464" spans="1:62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</row>
    <row r="465" spans="1:62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</row>
    <row r="466" spans="1:62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</row>
    <row r="467" spans="1:62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</row>
    <row r="468" spans="1:62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</row>
    <row r="469" spans="1:62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</row>
    <row r="470" spans="1:62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</row>
    <row r="471" spans="1:62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</row>
    <row r="472" spans="1:62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</row>
    <row r="473" spans="1:62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</row>
    <row r="474" spans="1:62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</row>
    <row r="475" spans="1:62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</row>
    <row r="476" spans="1:62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</row>
    <row r="477" spans="1:62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</row>
    <row r="478" spans="1:62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</row>
    <row r="479" spans="1:62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</row>
    <row r="480" spans="1:62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</row>
    <row r="481" spans="1:62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</row>
    <row r="482" spans="1:62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</row>
    <row r="483" spans="1:62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</row>
    <row r="484" spans="1:62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</row>
    <row r="485" spans="1:62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</row>
    <row r="486" spans="1:62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</row>
    <row r="487" spans="1:62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</row>
    <row r="488" spans="1:62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</row>
    <row r="489" spans="1:62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</row>
    <row r="490" spans="1:62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</row>
    <row r="491" spans="1:62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</row>
    <row r="492" spans="1:62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</row>
    <row r="493" spans="1:62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</row>
    <row r="494" spans="1:62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</row>
    <row r="495" spans="1:62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</row>
    <row r="496" spans="1:62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</row>
    <row r="497" spans="1:62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</row>
    <row r="498" spans="1:62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</row>
    <row r="499" spans="1:62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</row>
    <row r="500" spans="1:62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</row>
    <row r="501" spans="1:62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</row>
    <row r="502" spans="1:62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</row>
    <row r="503" spans="1:62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</row>
    <row r="504" spans="1:62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</row>
    <row r="505" spans="1:62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</row>
    <row r="506" spans="1:62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</row>
    <row r="507" spans="1:62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</row>
    <row r="508" spans="1:62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</row>
    <row r="509" spans="1:62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</row>
    <row r="510" spans="1:62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</row>
    <row r="511" spans="1:62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</row>
    <row r="512" spans="1:62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</row>
    <row r="513" spans="1:62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</row>
    <row r="514" spans="1:62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</row>
    <row r="515" spans="1:62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</row>
    <row r="516" spans="1:62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</row>
    <row r="517" spans="1:62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</row>
    <row r="518" spans="1:62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</row>
    <row r="519" spans="1:62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</row>
    <row r="520" spans="1:62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</row>
    <row r="521" spans="1:62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</row>
    <row r="522" spans="1:62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</row>
    <row r="523" spans="1:62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</row>
    <row r="524" spans="1:62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</row>
    <row r="525" spans="1:62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</row>
    <row r="526" spans="1:62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</row>
    <row r="527" spans="1:62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</row>
    <row r="528" spans="1:62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</row>
    <row r="529" spans="1:62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</row>
    <row r="530" spans="1:62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</row>
    <row r="531" spans="1:62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</row>
    <row r="532" spans="1:62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</row>
    <row r="533" spans="1:62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</row>
    <row r="534" spans="1:62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</row>
    <row r="535" spans="1:62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</row>
    <row r="536" spans="1:62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</row>
    <row r="537" spans="1:62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</row>
    <row r="538" spans="1:62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</row>
    <row r="539" spans="1:62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</row>
    <row r="540" spans="1:62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</row>
    <row r="541" spans="1:62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</row>
    <row r="542" spans="1:62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</row>
    <row r="543" spans="1:62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</row>
    <row r="544" spans="1:62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</row>
    <row r="545" spans="1:62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</row>
    <row r="546" spans="1:62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</row>
    <row r="547" spans="1:62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</row>
    <row r="548" spans="1:62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</row>
    <row r="549" spans="1:62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</row>
    <row r="550" spans="1:62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</row>
    <row r="551" spans="1:62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</row>
    <row r="552" spans="1:62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</row>
    <row r="553" spans="1:62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</row>
    <row r="554" spans="1:62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</row>
    <row r="555" spans="1:62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</row>
    <row r="556" spans="1:62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</row>
    <row r="557" spans="1:62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</row>
    <row r="558" spans="1:62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</row>
    <row r="559" spans="1:62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</row>
    <row r="560" spans="1:62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</row>
    <row r="561" spans="1:62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</row>
    <row r="562" spans="1:62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</row>
    <row r="563" spans="1:62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</row>
    <row r="564" spans="1:62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</row>
    <row r="565" spans="1:62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</row>
    <row r="566" spans="1:62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</row>
    <row r="567" spans="1:62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</row>
    <row r="568" spans="1:62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</row>
    <row r="569" spans="1:62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</row>
    <row r="570" spans="1:62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</row>
    <row r="571" spans="1:62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</row>
    <row r="572" spans="1:62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</row>
    <row r="573" spans="1:62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</row>
    <row r="574" spans="1:62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</row>
    <row r="575" spans="1:62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</row>
    <row r="576" spans="1:62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</row>
    <row r="577" spans="1:62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</row>
    <row r="578" spans="1:62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</row>
    <row r="579" spans="1:62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</row>
    <row r="580" spans="1:62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</row>
    <row r="581" spans="1:62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</row>
    <row r="582" spans="1:62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</row>
    <row r="583" spans="1:62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</row>
    <row r="584" spans="1:62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</row>
    <row r="585" spans="1:62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</row>
    <row r="586" spans="1:62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</row>
    <row r="587" spans="1:62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</row>
    <row r="588" spans="1:62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</row>
    <row r="589" spans="1:62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</row>
    <row r="590" spans="1:62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</row>
    <row r="591" spans="1:62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</row>
    <row r="592" spans="1:62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</row>
    <row r="593" spans="1:62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</row>
    <row r="594" spans="1:62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</row>
    <row r="595" spans="1:62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</row>
    <row r="596" spans="1:62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</row>
    <row r="597" spans="1:62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</row>
    <row r="598" spans="1:62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</row>
    <row r="599" spans="1:62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</row>
    <row r="600" spans="1:62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</row>
    <row r="601" spans="1:62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</row>
    <row r="602" spans="1:62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</row>
    <row r="603" spans="1:62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</row>
    <row r="604" spans="1:62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</row>
    <row r="605" spans="1:62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</row>
    <row r="606" spans="1:62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</row>
    <row r="607" spans="1:62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</row>
    <row r="608" spans="1:62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</row>
    <row r="609" spans="1:62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</row>
    <row r="610" spans="1:62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</row>
    <row r="611" spans="1:62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</row>
    <row r="612" spans="1:62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</row>
    <row r="613" spans="1:62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</row>
    <row r="614" spans="1:62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</row>
    <row r="615" spans="1:62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</row>
    <row r="616" spans="1:62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</row>
    <row r="617" spans="1:62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</row>
    <row r="618" spans="1:62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</row>
    <row r="619" spans="1:62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</row>
    <row r="620" spans="1:62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</row>
    <row r="621" spans="1:62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</row>
    <row r="622" spans="1:62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</row>
    <row r="623" spans="1:62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</row>
    <row r="624" spans="1:62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</row>
    <row r="625" spans="1:62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</row>
    <row r="626" spans="1:62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</row>
    <row r="627" spans="1:62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</row>
    <row r="628" spans="1:62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</row>
    <row r="629" spans="1:62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</row>
    <row r="630" spans="1:62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</row>
    <row r="631" spans="1:62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</row>
    <row r="632" spans="1:62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</row>
    <row r="633" spans="1:62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</row>
    <row r="634" spans="1:62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</row>
    <row r="635" spans="1:62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</row>
    <row r="636" spans="1:62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</row>
    <row r="637" spans="1:62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</row>
    <row r="638" spans="1:62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</row>
    <row r="639" spans="1:62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</row>
    <row r="640" spans="1:62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</row>
    <row r="641" spans="1:62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</row>
    <row r="642" spans="1:62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</row>
    <row r="643" spans="1:62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</row>
    <row r="644" spans="1:62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</row>
    <row r="645" spans="1:62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</row>
    <row r="646" spans="1:62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</row>
    <row r="647" spans="1:62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</row>
    <row r="648" spans="1:62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</row>
    <row r="649" spans="1:62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</row>
    <row r="650" spans="1:62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</row>
    <row r="651" spans="1:62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</row>
    <row r="652" spans="1:62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</row>
    <row r="653" spans="1:62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</row>
    <row r="654" spans="1:62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</row>
    <row r="655" spans="1:62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</row>
    <row r="656" spans="1:62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</row>
    <row r="657" spans="1:62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</row>
    <row r="658" spans="1:62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</row>
    <row r="659" spans="1:62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</row>
    <row r="660" spans="1:62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</row>
    <row r="661" spans="1:62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</row>
    <row r="662" spans="1:62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</row>
    <row r="663" spans="1:62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</row>
    <row r="664" spans="1:62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</row>
    <row r="665" spans="1:62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</row>
    <row r="666" spans="1:62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</row>
    <row r="667" spans="1:62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</row>
    <row r="668" spans="1:62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</row>
    <row r="669" spans="1:62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</row>
    <row r="670" spans="1:62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</row>
    <row r="671" spans="1:62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</row>
    <row r="672" spans="1:62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</row>
    <row r="673" spans="1:62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</row>
    <row r="674" spans="1:62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</row>
    <row r="675" spans="1:62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</row>
    <row r="676" spans="1:62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</row>
    <row r="677" spans="1:62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</row>
    <row r="678" spans="1:62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</row>
    <row r="679" spans="1:62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</row>
    <row r="680" spans="1:62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</row>
    <row r="681" spans="1:62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</row>
    <row r="682" spans="1:62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</row>
    <row r="683" spans="1:62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</row>
    <row r="684" spans="1:62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</row>
    <row r="685" spans="1:62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</row>
    <row r="686" spans="1:62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</row>
    <row r="687" spans="1:62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</row>
    <row r="688" spans="1:62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</row>
    <row r="689" spans="1:62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</row>
    <row r="690" spans="1:62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</row>
    <row r="691" spans="1:62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</row>
    <row r="692" spans="1:62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</row>
    <row r="693" spans="1:62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</row>
    <row r="694" spans="1:62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</row>
    <row r="695" spans="1:62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</row>
    <row r="696" spans="1:62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</row>
    <row r="697" spans="1:62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</row>
    <row r="698" spans="1:62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</row>
    <row r="699" spans="1:62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</row>
    <row r="700" spans="1:62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</row>
    <row r="701" spans="1:62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</row>
    <row r="702" spans="1:62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</row>
    <row r="703" spans="1:62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</row>
    <row r="704" spans="1:62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</row>
    <row r="705" spans="1:62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</row>
    <row r="706" spans="1:62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</row>
    <row r="707" spans="1:62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</row>
    <row r="708" spans="1:62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</row>
    <row r="709" spans="1:62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</row>
    <row r="710" spans="1:62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</row>
    <row r="711" spans="1:62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</row>
    <row r="712" spans="1:62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</row>
    <row r="713" spans="1:62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</row>
    <row r="714" spans="1:62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</row>
    <row r="715" spans="1:62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</row>
    <row r="716" spans="1:62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</row>
    <row r="717" spans="1:62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</row>
    <row r="718" spans="1:62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</row>
    <row r="719" spans="1:62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</row>
    <row r="720" spans="1:62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</row>
    <row r="721" spans="1:62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</row>
    <row r="722" spans="1:62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</row>
    <row r="723" spans="1:62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</row>
    <row r="724" spans="1:62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</row>
    <row r="725" spans="1:62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</row>
    <row r="726" spans="1:62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</row>
    <row r="727" spans="1:62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</row>
    <row r="728" spans="1:62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</row>
    <row r="729" spans="1:62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</row>
    <row r="730" spans="1:62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</row>
    <row r="731" spans="1:62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</row>
    <row r="732" spans="1:62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</row>
    <row r="733" spans="1:62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</row>
    <row r="734" spans="1:62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</row>
    <row r="735" spans="1:62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</row>
    <row r="736" spans="1:62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</row>
    <row r="737" spans="1:62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</row>
    <row r="738" spans="1:62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</row>
    <row r="739" spans="1:62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</row>
    <row r="740" spans="1:62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</row>
    <row r="741" spans="1:62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</row>
    <row r="742" spans="1:62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</row>
    <row r="743" spans="1:62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</row>
    <row r="744" spans="1:62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</row>
    <row r="745" spans="1:62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</row>
    <row r="746" spans="1:62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</row>
    <row r="747" spans="1:62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</row>
    <row r="748" spans="1:62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</row>
    <row r="749" spans="1:62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</row>
    <row r="750" spans="1:62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</row>
    <row r="751" spans="1:62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</row>
    <row r="752" spans="1:62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</row>
    <row r="753" spans="1:62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</row>
    <row r="754" spans="1:62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</row>
    <row r="755" spans="1:62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</row>
    <row r="756" spans="1:62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</row>
    <row r="757" spans="1:62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</row>
    <row r="758" spans="1:62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</row>
    <row r="759" spans="1:62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</row>
    <row r="760" spans="1:62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</row>
    <row r="761" spans="1:62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</row>
    <row r="762" spans="1:62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</row>
    <row r="763" spans="1:62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</row>
    <row r="764" spans="1:62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</row>
    <row r="765" spans="1:62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</row>
    <row r="766" spans="1:62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</row>
    <row r="767" spans="1:62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</row>
    <row r="768" spans="1:62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</row>
    <row r="769" spans="1:62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</row>
    <row r="770" spans="1:62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</row>
    <row r="771" spans="1:62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</row>
    <row r="772" spans="1:62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</row>
    <row r="773" spans="1:62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</row>
    <row r="774" spans="1:62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</row>
    <row r="775" spans="1:62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</row>
    <row r="776" spans="1:62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</row>
    <row r="777" spans="1:62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</row>
    <row r="778" spans="1:62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</row>
    <row r="779" spans="1:62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</row>
    <row r="780" spans="1:62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</row>
    <row r="781" spans="1:62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</row>
    <row r="782" spans="1:62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</row>
    <row r="783" spans="1:62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</row>
    <row r="784" spans="1:62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</row>
    <row r="785" spans="1:62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</row>
    <row r="786" spans="1:62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</row>
    <row r="787" spans="1:62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</row>
    <row r="788" spans="1:62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</row>
    <row r="789" spans="1:62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</row>
    <row r="790" spans="1:62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</row>
    <row r="791" spans="1:62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</row>
    <row r="792" spans="1:62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</row>
    <row r="793" spans="1:62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</row>
    <row r="794" spans="1:62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</row>
    <row r="795" spans="1:62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</row>
    <row r="796" spans="1:62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</row>
    <row r="797" spans="1:62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</row>
    <row r="798" spans="1:62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</row>
    <row r="799" spans="1:62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</row>
    <row r="800" spans="1:62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</row>
    <row r="801" spans="1:62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</row>
    <row r="802" spans="1:62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</row>
    <row r="803" spans="1:62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</row>
    <row r="804" spans="1:62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</row>
    <row r="805" spans="1:62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</row>
    <row r="806" spans="1:62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</row>
    <row r="807" spans="1:62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</row>
    <row r="808" spans="1:62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</row>
    <row r="809" spans="1:62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</row>
    <row r="810" spans="1:62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</row>
    <row r="811" spans="1:62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</row>
    <row r="812" spans="1:62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</row>
    <row r="813" spans="1:62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</row>
  </sheetData>
  <sortState ref="AI89:AY92">
    <sortCondition ref="AS89:AS92"/>
  </sortState>
  <mergeCells count="13">
    <mergeCell ref="A2:Q3"/>
    <mergeCell ref="R2:AH3"/>
    <mergeCell ref="AI2:AY3"/>
    <mergeCell ref="A4:AY4"/>
    <mergeCell ref="A1:AY1"/>
    <mergeCell ref="A86:Q87"/>
    <mergeCell ref="R86:AH87"/>
    <mergeCell ref="AI86:AY87"/>
    <mergeCell ref="A29:AY29"/>
    <mergeCell ref="A31:Q32"/>
    <mergeCell ref="R31:AH32"/>
    <mergeCell ref="AI31:AY32"/>
    <mergeCell ref="A84:AY8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Халезов Сергей Александрович</dc:creator>
  <cp:lastModifiedBy>Халезов Сергей Александрович</cp:lastModifiedBy>
  <dcterms:created xsi:type="dcterms:W3CDTF">2025-07-21T08:34:39Z</dcterms:created>
  <dcterms:modified xsi:type="dcterms:W3CDTF">2026-04-06T08:25:36Z</dcterms:modified>
</cp:coreProperties>
</file>